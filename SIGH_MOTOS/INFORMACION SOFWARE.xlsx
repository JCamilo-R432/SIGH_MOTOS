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45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21" i="1" l="1"/>
  <c r="E620" i="1"/>
  <c r="E619" i="1"/>
  <c r="E618" i="1"/>
  <c r="E617" i="1"/>
  <c r="E615" i="1"/>
  <c r="E614" i="1"/>
  <c r="E613" i="1"/>
  <c r="E611" i="1"/>
  <c r="G606" i="1"/>
  <c r="C588" i="1"/>
  <c r="E586" i="1"/>
  <c r="E583" i="1"/>
  <c r="E582" i="1"/>
  <c r="E581" i="1"/>
  <c r="E580" i="1"/>
  <c r="E579" i="1"/>
  <c r="E578" i="1"/>
  <c r="E577" i="1"/>
  <c r="E576" i="1"/>
  <c r="E575" i="1"/>
  <c r="E574" i="1"/>
  <c r="E572" i="1"/>
  <c r="E571" i="1"/>
  <c r="E570" i="1"/>
  <c r="E569" i="1"/>
  <c r="E568" i="1"/>
  <c r="E567" i="1"/>
  <c r="E565" i="1"/>
  <c r="E564" i="1"/>
  <c r="E563" i="1"/>
  <c r="E562" i="1"/>
  <c r="E561" i="1"/>
  <c r="E560" i="1"/>
  <c r="E556" i="1"/>
  <c r="E555" i="1"/>
  <c r="E553" i="1"/>
  <c r="E552" i="1"/>
  <c r="G551" i="1" s="1"/>
  <c r="E551" i="1"/>
  <c r="E550" i="1"/>
  <c r="G550" i="1" s="1"/>
  <c r="E549" i="1"/>
  <c r="E548" i="1"/>
  <c r="E547" i="1"/>
  <c r="G547" i="1" s="1"/>
  <c r="E546" i="1"/>
  <c r="E545" i="1"/>
  <c r="E544" i="1"/>
  <c r="G544" i="1" s="1"/>
  <c r="E543" i="1"/>
  <c r="E538" i="1"/>
  <c r="E535" i="1"/>
  <c r="E534" i="1"/>
  <c r="E533" i="1"/>
  <c r="E532" i="1"/>
  <c r="E531" i="1"/>
  <c r="E530" i="1"/>
  <c r="E529" i="1"/>
  <c r="E528" i="1"/>
  <c r="E527" i="1"/>
  <c r="E524" i="1"/>
  <c r="E523" i="1"/>
  <c r="E522" i="1"/>
  <c r="E521" i="1"/>
  <c r="E520" i="1"/>
  <c r="E519" i="1"/>
  <c r="E518" i="1"/>
  <c r="E517" i="1"/>
  <c r="E516" i="1"/>
  <c r="E515" i="1"/>
  <c r="E511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2" i="1"/>
  <c r="E471" i="1"/>
  <c r="E470" i="1"/>
  <c r="E469" i="1"/>
  <c r="E468" i="1"/>
  <c r="E465" i="1"/>
  <c r="E464" i="1"/>
  <c r="E460" i="1"/>
  <c r="E459" i="1"/>
  <c r="G458" i="1"/>
  <c r="E458" i="1"/>
  <c r="G457" i="1"/>
  <c r="G456" i="1"/>
  <c r="G455" i="1"/>
  <c r="E450" i="1"/>
  <c r="E449" i="1"/>
  <c r="E448" i="1"/>
  <c r="E447" i="1"/>
  <c r="E446" i="1"/>
  <c r="E445" i="1"/>
  <c r="E444" i="1"/>
  <c r="E443" i="1"/>
  <c r="E437" i="1"/>
  <c r="E435" i="1"/>
  <c r="E434" i="1"/>
  <c r="E433" i="1"/>
  <c r="E432" i="1"/>
  <c r="E431" i="1"/>
  <c r="E430" i="1"/>
  <c r="E429" i="1"/>
  <c r="E428" i="1"/>
  <c r="G427" i="1"/>
  <c r="E427" i="1"/>
  <c r="E426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09" i="1"/>
  <c r="E408" i="1"/>
  <c r="E407" i="1"/>
  <c r="E406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G376" i="1" s="1"/>
  <c r="E375" i="1"/>
  <c r="E374" i="1"/>
  <c r="E373" i="1"/>
  <c r="E372" i="1"/>
  <c r="E371" i="1"/>
  <c r="E370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1" i="1"/>
  <c r="E350" i="1"/>
  <c r="E349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09" i="1"/>
  <c r="E308" i="1"/>
  <c r="E307" i="1"/>
  <c r="E306" i="1"/>
  <c r="E305" i="1"/>
  <c r="E304" i="1"/>
  <c r="E303" i="1"/>
  <c r="E302" i="1"/>
  <c r="E295" i="1"/>
  <c r="G294" i="1"/>
  <c r="E294" i="1"/>
  <c r="E293" i="1"/>
  <c r="E292" i="1"/>
  <c r="E291" i="1"/>
  <c r="E290" i="1"/>
  <c r="E289" i="1"/>
  <c r="E288" i="1"/>
  <c r="E287" i="1"/>
  <c r="E285" i="1"/>
  <c r="E284" i="1"/>
  <c r="E283" i="1"/>
  <c r="G283" i="1" s="1"/>
  <c r="E282" i="1"/>
  <c r="E281" i="1"/>
  <c r="E280" i="1"/>
  <c r="E279" i="1"/>
  <c r="E278" i="1"/>
  <c r="E277" i="1"/>
  <c r="E276" i="1"/>
  <c r="E275" i="1"/>
  <c r="E274" i="1"/>
  <c r="E273" i="1"/>
  <c r="E272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D254" i="1"/>
  <c r="E254" i="1" s="1"/>
  <c r="E253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G229" i="1"/>
  <c r="E229" i="1"/>
  <c r="G228" i="1"/>
  <c r="E228" i="1"/>
  <c r="E224" i="1"/>
  <c r="E223" i="1"/>
  <c r="E222" i="1"/>
  <c r="E221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G159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3" i="1"/>
  <c r="E142" i="1"/>
  <c r="E141" i="1"/>
  <c r="E140" i="1"/>
  <c r="E139" i="1"/>
  <c r="E138" i="1"/>
  <c r="E136" i="1"/>
  <c r="E134" i="1"/>
  <c r="E132" i="1"/>
  <c r="E131" i="1"/>
  <c r="E130" i="1"/>
  <c r="E129" i="1"/>
  <c r="E128" i="1"/>
  <c r="E125" i="1"/>
  <c r="E124" i="1"/>
  <c r="E122" i="1"/>
  <c r="E121" i="1"/>
  <c r="E118" i="1"/>
  <c r="E117" i="1"/>
  <c r="E116" i="1"/>
  <c r="E114" i="1"/>
  <c r="G111" i="1"/>
  <c r="G103" i="1"/>
  <c r="G97" i="1"/>
  <c r="G94" i="1"/>
  <c r="G93" i="1"/>
  <c r="E87" i="1"/>
  <c r="E86" i="1"/>
  <c r="E85" i="1"/>
  <c r="E84" i="1"/>
  <c r="E83" i="1"/>
  <c r="G81" i="1"/>
  <c r="E70" i="1"/>
  <c r="E69" i="1"/>
  <c r="E62" i="1"/>
  <c r="E60" i="1"/>
  <c r="E54" i="1"/>
  <c r="E53" i="1"/>
  <c r="E47" i="1"/>
  <c r="E46" i="1"/>
  <c r="G46" i="1" s="1"/>
  <c r="E45" i="1"/>
  <c r="E44" i="1"/>
  <c r="G43" i="1" s="1"/>
  <c r="E43" i="1"/>
  <c r="E42" i="1"/>
  <c r="G41" i="1"/>
  <c r="E41" i="1"/>
  <c r="E40" i="1"/>
  <c r="E39" i="1"/>
  <c r="E38" i="1"/>
  <c r="E37" i="1"/>
  <c r="E35" i="1"/>
  <c r="E34" i="1"/>
  <c r="E33" i="1"/>
  <c r="E32" i="1"/>
  <c r="G39" i="1" l="1"/>
</calcChain>
</file>

<file path=xl/sharedStrings.xml><?xml version="1.0" encoding="utf-8"?>
<sst xmlns="http://schemas.openxmlformats.org/spreadsheetml/2006/main" count="1265" uniqueCount="724">
  <si>
    <t>PRODUCTO</t>
  </si>
  <si>
    <t xml:space="preserve">DESCRIPCIÓN </t>
  </si>
  <si>
    <t>CANTIDAD</t>
  </si>
  <si>
    <t xml:space="preserve">VALOR SIN IVA </t>
  </si>
  <si>
    <t xml:space="preserve">VALOR CON IVA INCLUIDO </t>
  </si>
  <si>
    <t xml:space="preserve">VALOR COMERCIAL </t>
  </si>
  <si>
    <t>ACEITE BAJAB DORADO</t>
  </si>
  <si>
    <t>20W-50 1.2 LT</t>
  </si>
  <si>
    <t>AGOTADO</t>
  </si>
  <si>
    <t>ACEITE BAJAJ 1.2 LTS</t>
  </si>
  <si>
    <t xml:space="preserve">20W50 </t>
  </si>
  <si>
    <t>CALIPER MORDAZA DELANTERA</t>
  </si>
  <si>
    <t>GN 125</t>
  </si>
  <si>
    <t xml:space="preserve">MOTOR DE ARRANQUE </t>
  </si>
  <si>
    <t>GN 125F / GS 125</t>
  </si>
  <si>
    <t>DISCOVER 135</t>
  </si>
  <si>
    <t>VELOCIMETRO DIGITAL</t>
  </si>
  <si>
    <t>GN 125 H DIGITAL</t>
  </si>
  <si>
    <t>BOXER CT DIGITAL</t>
  </si>
  <si>
    <t>FAROLA</t>
  </si>
  <si>
    <t>GN 125 H</t>
  </si>
  <si>
    <t>AX4 / GN NOVA</t>
  </si>
  <si>
    <t>ALT SL / NKD</t>
  </si>
  <si>
    <t>ACEITE BAJAJ 1L</t>
  </si>
  <si>
    <t>ACEITE CASTROL ACTEVO</t>
  </si>
  <si>
    <t>ACTEVO 4T 20W50 1L</t>
  </si>
  <si>
    <t>ACEITE CASTROL DORADO</t>
  </si>
  <si>
    <t xml:space="preserve">POWER 1 </t>
  </si>
  <si>
    <t>ACEITE CELERITY AZUL</t>
  </si>
  <si>
    <t>25W-50</t>
  </si>
  <si>
    <t>ACEITE CELERITY NARANJA</t>
  </si>
  <si>
    <t>20W-50</t>
  </si>
  <si>
    <t>ACEITE HIDRAULICO ECONOMICO</t>
  </si>
  <si>
    <t>UNIVERSAL</t>
  </si>
  <si>
    <t>ACEITE KIXX</t>
  </si>
  <si>
    <t>20W50 1L</t>
  </si>
  <si>
    <t xml:space="preserve">25W60 1L </t>
  </si>
  <si>
    <t>ACEITE MOBIL HYDRAULIC</t>
  </si>
  <si>
    <t>HIDRAULICO PARA BARRAS</t>
  </si>
  <si>
    <t>ACEITE MOBIL SUPER</t>
  </si>
  <si>
    <t xml:space="preserve">20W50 1L </t>
  </si>
  <si>
    <t>ACEITE MOBIL SUPER ULTRA TAPA AMARILLA</t>
  </si>
  <si>
    <r>
      <t xml:space="preserve">20W50 </t>
    </r>
    <r>
      <rPr>
        <sz val="11"/>
        <rFont val="Calibri"/>
        <family val="2"/>
        <scheme val="minor"/>
      </rPr>
      <t>CON DURAFILM</t>
    </r>
  </si>
  <si>
    <t>ACEITE MOTUL 5100</t>
  </si>
  <si>
    <t>ACEITE MOTUL 7100</t>
  </si>
  <si>
    <t>20W50</t>
  </si>
  <si>
    <t>ACEITE PARA TRANSMISION DE MOTOCICLETA (VALVULINA)</t>
  </si>
  <si>
    <t xml:space="preserve">YAMALUBE </t>
  </si>
  <si>
    <t>AGOTADA</t>
  </si>
  <si>
    <t xml:space="preserve">CITRUX SCOOTER </t>
  </si>
  <si>
    <t>ACEITE SHELL ADVANCE</t>
  </si>
  <si>
    <t>ACEITE TORITO (MOTORES 4T)</t>
  </si>
  <si>
    <t xml:space="preserve">MOTORES 4T </t>
  </si>
  <si>
    <t xml:space="preserve">ACEITE UNO </t>
  </si>
  <si>
    <t>ACEITE YAMALUBE</t>
  </si>
  <si>
    <t>YAMAHA 20W50</t>
  </si>
  <si>
    <t>AMORTIGUADOR RESORTE NEGRO</t>
  </si>
  <si>
    <t>AKT NKD -  SL</t>
  </si>
  <si>
    <t>AMORTIGUADOR RESORTE ROJO</t>
  </si>
  <si>
    <t>AMORTIGUADOR TRASERO</t>
  </si>
  <si>
    <t>AX4</t>
  </si>
  <si>
    <t>BOXER CT 100 NEGRO</t>
  </si>
  <si>
    <t>BALBULINAS DE TRANSMISION</t>
  </si>
  <si>
    <t>BALINERA</t>
  </si>
  <si>
    <t>BALINERA MOTOTEC</t>
  </si>
  <si>
    <t>BALINERA PF1</t>
  </si>
  <si>
    <t>BANDA DE FRENO AND POWER</t>
  </si>
  <si>
    <t xml:space="preserve">BOXER CT </t>
  </si>
  <si>
    <t>GN 125 /GS 125/PULSAR 180</t>
  </si>
  <si>
    <t>BANDAS DE FRENO AND POWER</t>
  </si>
  <si>
    <t>AX4 / BEST 125</t>
  </si>
  <si>
    <t>BANDAS DE FRENO CHOHO</t>
  </si>
  <si>
    <t>AX4T / AKT 110T-125T / NKDT / BESTT</t>
  </si>
  <si>
    <t xml:space="preserve">AGOTADO </t>
  </si>
  <si>
    <t>AKT125SL / NKD (D11-12) / CB100-110 / ECO DELUXE / XL 125-185 - XR 125 - 150 - TT 125-150</t>
  </si>
  <si>
    <t>AX100 (D/T) / BOXER CT  / VIVA R115(T) / TVS 100 / VIVAX 115(D/T) / FR80</t>
  </si>
  <si>
    <t>BANDAS DE FRENO EVOL PLATINUM DEL/TRAS</t>
  </si>
  <si>
    <t>A80 / A100 /FR80 / AX100 /FD115</t>
  </si>
  <si>
    <t>BANDAS DE FRENO ICHIBAN</t>
  </si>
  <si>
    <t>CRYPTON 115 F.I / FZ 2.0 / FZ 16 /  DR150 / YCZ110 / XTZ 125 - 150</t>
  </si>
  <si>
    <t>BANDAS DE FRENO JAPAN</t>
  </si>
  <si>
    <r>
      <rPr>
        <sz val="11"/>
        <color rgb="FFFF0000"/>
        <rFont val="Calibri"/>
        <family val="2"/>
        <scheme val="minor"/>
      </rPr>
      <t>YAMAHA</t>
    </r>
    <r>
      <rPr>
        <sz val="11"/>
        <color rgb="FF000000"/>
        <rFont val="Calibri"/>
        <family val="2"/>
        <scheme val="minor"/>
      </rPr>
      <t>: CRYPTON 125 / FZ16 / YBR 125 / LIBERO 125 / DR150 / XTZ 150</t>
    </r>
  </si>
  <si>
    <t>BANDAS DE FRENO JAPAN DEL/TRAS</t>
  </si>
  <si>
    <r>
      <rPr>
        <sz val="11"/>
        <color rgb="FFFF0000"/>
        <rFont val="Calibri"/>
        <family val="2"/>
        <scheme val="minor"/>
      </rPr>
      <t>YAMAHA</t>
    </r>
    <r>
      <rPr>
        <sz val="11"/>
        <color rgb="FF000000"/>
        <rFont val="Calibri"/>
        <family val="2"/>
        <scheme val="minor"/>
      </rPr>
      <t xml:space="preserve">: BWS100 / DT200LC / XTZ125 / LIBERO 110 /DT125-175 / XTZ 125 / YBR125 DX / YBR 125 SS </t>
    </r>
  </si>
  <si>
    <r>
      <rPr>
        <sz val="11"/>
        <color rgb="FFFF0000"/>
        <rFont val="Calibri"/>
        <family val="2"/>
        <scheme val="minor"/>
      </rPr>
      <t>HERO/HONDA</t>
    </r>
    <r>
      <rPr>
        <sz val="11"/>
        <color rgb="FF000000"/>
        <rFont val="Calibri"/>
        <family val="2"/>
        <scheme val="minor"/>
      </rPr>
      <t>: DASH 110 - SUPER SPLENDOR 125 - DIO 110 - NAVI 110 CC - CB125 F - CBF150 - CB160 F STD</t>
    </r>
  </si>
  <si>
    <r>
      <rPr>
        <sz val="11"/>
        <color rgb="FFFF0000"/>
        <rFont val="Calibri"/>
        <family val="2"/>
        <scheme val="minor"/>
      </rPr>
      <t>YAMAHA</t>
    </r>
    <r>
      <rPr>
        <sz val="11"/>
        <color rgb="FF000000"/>
        <rFont val="Calibri"/>
        <family val="2"/>
        <scheme val="minor"/>
      </rPr>
      <t>: NEX 115 T - LIBERO 125 - YBR 125 E - YBR 125 ED - YBR 125 ESD - FZ16 2.0 - FZ15 ST FAZER - SZ15 RR - SZ16 R</t>
    </r>
  </si>
  <si>
    <r>
      <rPr>
        <sz val="11"/>
        <color rgb="FFFF0000"/>
        <rFont val="Calibri"/>
        <family val="2"/>
        <scheme val="minor"/>
      </rPr>
      <t>HERO/HONDA:</t>
    </r>
    <r>
      <rPr>
        <sz val="11"/>
        <color rgb="FF000000"/>
        <rFont val="Calibri"/>
        <family val="2"/>
        <scheme val="minor"/>
      </rPr>
      <t xml:space="preserve"> CD 100 SPLENDOR - ECO DELUXE - SPLENDOR - SMART 125 - DREAM NEO 110  - C100612 - SPLENDOR 100 NXG - CB100 - CB1 - CLICK125 - ELITE 125+ </t>
    </r>
  </si>
  <si>
    <r>
      <rPr>
        <sz val="11"/>
        <color rgb="FFFF0000"/>
        <rFont val="Calibri"/>
        <family val="2"/>
        <scheme val="minor"/>
      </rPr>
      <t xml:space="preserve">AKT/BAJAB/SUZUKI/TVS: </t>
    </r>
    <r>
      <rPr>
        <sz val="11"/>
        <color theme="1"/>
        <rFont val="Calibri"/>
        <family val="2"/>
        <scheme val="minor"/>
      </rPr>
      <t>GN 125 - AKT 125 EVO - DISCOVER 100 - DISCOVER 110 - XCD125 - DISCOVER 125 DTS - PLATINO 125DTSI - GP 125 - STAR SPORT100 - ROCKZ 125 - APACHE RTR160 - GS - PULR 135</t>
    </r>
  </si>
  <si>
    <t>BANDAS DE FRENO JAPAN TRASERA</t>
  </si>
  <si>
    <t>BWS / YW125 /125X</t>
  </si>
  <si>
    <t>BANDAS DE FRENO MOTOTEC</t>
  </si>
  <si>
    <t xml:space="preserve">ECO DELUXE / AK 110 / XR125 / </t>
  </si>
  <si>
    <t>BANDAS DE FRENO STRONGK (BANDA GRANDE)</t>
  </si>
  <si>
    <t>ECO DELUXE (DELANTERA) /  CBF 125-150</t>
  </si>
  <si>
    <t>BANDAS DE FRENO STRONGK (BANDA PQUEÑA)</t>
  </si>
  <si>
    <t>ECO DELUXE (TRASERA) / XR 125-150-190 / AKT 110 (TRASERA) / TT 125-150 / AKT125SL / NKD (D11-12) / CB100-110 / ECO DELUXE / XL 125-185 - XR 125 - 150 - TT 125-150</t>
  </si>
  <si>
    <t>BANDAS DE FRENO SUKA</t>
  </si>
  <si>
    <t xml:space="preserve">GN 125 / GS 125 / PULSAR  135/ NKD / PULSAR 180 </t>
  </si>
  <si>
    <t>BARRAS TELESCOPICAS COMPLETA</t>
  </si>
  <si>
    <t>AKT 125 - NKD</t>
  </si>
  <si>
    <t xml:space="preserve">BATERIA </t>
  </si>
  <si>
    <t>PULSAR180/GN/GS/ARSEN - 12N9L</t>
  </si>
  <si>
    <t>AGILITY / DINAMIC</t>
  </si>
  <si>
    <t>AKT110 / PUL135 / CRYPTON 125 / FZ 16 MODELO VIEJO /DISCOVER 135 - 12N5L</t>
  </si>
  <si>
    <t xml:space="preserve">BWS 2015 / AKT125/ NKD / MRX 150 SOCIALISTA- 12N6.5 </t>
  </si>
  <si>
    <t>TT 125 / TTR200/DR200/XTZ125- YTX7L</t>
  </si>
  <si>
    <t>PULSAR 200 NS/DR 650 /FREEWIND - YTX9A</t>
  </si>
  <si>
    <t>BEST / FZ 16 / CB110 / DIO HONDA- YTX4L</t>
  </si>
  <si>
    <t>BWS100 - XR150 - BROSS 125 - XTZ 150 NS   - YTX5L</t>
  </si>
  <si>
    <t>AX4 - CRYPTON 110 - VIVA - 12N5L-B</t>
  </si>
  <si>
    <t xml:space="preserve">BWS125 - YT7B-4 </t>
  </si>
  <si>
    <t xml:space="preserve">BOXER - 12N2.5 </t>
  </si>
  <si>
    <t xml:space="preserve">BOBINA DE ALTA </t>
  </si>
  <si>
    <t>BOXER CT</t>
  </si>
  <si>
    <t>BOMBA DE FRENO</t>
  </si>
  <si>
    <t>CRYPTON 110</t>
  </si>
  <si>
    <t xml:space="preserve">FZ 16 / DISCOVER /PULSAR </t>
  </si>
  <si>
    <t>CRYPTON 115 FI</t>
  </si>
  <si>
    <t>GN/GS</t>
  </si>
  <si>
    <t xml:space="preserve">BOMBA DE FRENO </t>
  </si>
  <si>
    <t>FLEX 125</t>
  </si>
  <si>
    <t xml:space="preserve">BOMBA DE FRENO  - MOTOLED </t>
  </si>
  <si>
    <t>AKT 110</t>
  </si>
  <si>
    <t>BOMBA DE FRENO - MOTOLED</t>
  </si>
  <si>
    <t>GN - GS</t>
  </si>
  <si>
    <t>BOMBA DE FRENO AND POWER</t>
  </si>
  <si>
    <t xml:space="preserve">FZ 16 </t>
  </si>
  <si>
    <t>PULSAR 135/180</t>
  </si>
  <si>
    <t xml:space="preserve">BOMBILLO BAYONETA AZUL FIJO </t>
  </si>
  <si>
    <t xml:space="preserve">BOMBILLO BAYONETA FURIA AMARILLO </t>
  </si>
  <si>
    <t xml:space="preserve">BOMBILLO BAYONETA FURIA AZUL </t>
  </si>
  <si>
    <t xml:space="preserve">BOMBILLO BAYONETA FURIA BLANCO </t>
  </si>
  <si>
    <t xml:space="preserve">BOMBILLO BAYONETA FURIA HIELO </t>
  </si>
  <si>
    <t xml:space="preserve">BOMBILLO BAYONETA FURIA ROJO </t>
  </si>
  <si>
    <t xml:space="preserve">BOMBILLO BAYONETA FURIA ROSADO </t>
  </si>
  <si>
    <t xml:space="preserve">BOMBILLO BAYONETA FURIA VERDE </t>
  </si>
  <si>
    <t xml:space="preserve">BOMBILLO BAYONETA ROJO FIJO </t>
  </si>
  <si>
    <t xml:space="preserve">BOMBILLO BAYONETA ROJO FLASHEO </t>
  </si>
  <si>
    <t>BOMBILLO BAYONETA ROSADO FIJO</t>
  </si>
  <si>
    <t>BOMBILLO BAYONETA ROSADO FLASHEO</t>
  </si>
  <si>
    <t xml:space="preserve">BOMBILLO CERAMICO TRICETA </t>
  </si>
  <si>
    <t>BOMBILLO FAROLA PLUS PORCELANA</t>
  </si>
  <si>
    <t>BOMBILLO FAROLA UNA PATA CABEZA PLANA</t>
  </si>
  <si>
    <t xml:space="preserve">BEST - CRYPTON </t>
  </si>
  <si>
    <t>BOMBILLO H4-T4 8000 LM VENTILADOR</t>
  </si>
  <si>
    <t xml:space="preserve">BOMBILLO LED UNA PATA CERAMICO </t>
  </si>
  <si>
    <t xml:space="preserve">BOMBILLO MOTOLED 12000 LM </t>
  </si>
  <si>
    <t xml:space="preserve">BOMBILLO MOTOLED 16000 LM ULTRADELGADO </t>
  </si>
  <si>
    <t xml:space="preserve">BOMBILLO MOTOLED 8000 LM DIAL COLOR </t>
  </si>
  <si>
    <t>BOMBILLO MOTOLED MATE 8 - 10000 LM</t>
  </si>
  <si>
    <t>BOMBILLO STOP TRASERO</t>
  </si>
  <si>
    <t>BOMBILLOS 3 PATAS (LUZ AMARILLA)</t>
  </si>
  <si>
    <t xml:space="preserve">BUJE PORTA SPROCKET </t>
  </si>
  <si>
    <t>BOXER</t>
  </si>
  <si>
    <t>BUJIA 001</t>
  </si>
  <si>
    <t>PULSAR135-C90-ECODELUXE</t>
  </si>
  <si>
    <t>BUJIA 002</t>
  </si>
  <si>
    <t>(D8EA)AKT125-XL125-XT 250</t>
  </si>
  <si>
    <t>BUJIA 003</t>
  </si>
  <si>
    <t>(CR8E)FZ 16-CBF 150 PULSAR 180</t>
  </si>
  <si>
    <t>BUJIA BAJAB ORIGINAL</t>
  </si>
  <si>
    <t>BOXER CT100 - BAJAJ</t>
  </si>
  <si>
    <t>BUJIA DENSO</t>
  </si>
  <si>
    <t xml:space="preserve">GN 125H - PULSAR </t>
  </si>
  <si>
    <t>CADENA</t>
  </si>
  <si>
    <t>REFORZADA  TVS 100 SPORT</t>
  </si>
  <si>
    <t>428H X 124L</t>
  </si>
  <si>
    <t>CADENA 428H-132L DORADA AND POWER</t>
  </si>
  <si>
    <t>CADENA DORADA</t>
  </si>
  <si>
    <t>428H-132L REFORZADA</t>
  </si>
  <si>
    <t>CADENA TIEMPO SOLPARTS</t>
  </si>
  <si>
    <t>XTZ 125</t>
  </si>
  <si>
    <t xml:space="preserve">CADENILLA  NPC </t>
  </si>
  <si>
    <t>CBF 150/ INVICTA / BWS 125</t>
  </si>
  <si>
    <t>CADENILLA BAJAJ</t>
  </si>
  <si>
    <t>BOXER CT 100 ORIGINAL 12V</t>
  </si>
  <si>
    <t xml:space="preserve">CADENILLA DURAMAX </t>
  </si>
  <si>
    <t>BEST / VIVA R /AX4 / BIZ 125</t>
  </si>
  <si>
    <t>CRYPTON 115 / XTZ 125</t>
  </si>
  <si>
    <t>FZ 16</t>
  </si>
  <si>
    <t>GS 125 / CBF 150 / CBZ 160 / STROM 125</t>
  </si>
  <si>
    <t>CBF 150 / BWS 4T / BOXER KS</t>
  </si>
  <si>
    <t>CADENILLA HERO ORIGINAL</t>
  </si>
  <si>
    <t>XR  150- BWS 4 T</t>
  </si>
  <si>
    <t>CADENILLA TIPO ORUGA DURAMAX</t>
  </si>
  <si>
    <t>GN-XL</t>
  </si>
  <si>
    <t>CADENILLA VITRIX</t>
  </si>
  <si>
    <t>CRYPTON 115-FI / YBR 125 / XTZ 125 / DYNAMIC 125 (404H-90L)</t>
  </si>
  <si>
    <t>XL125 - GN125H - PULSAR 180/200</t>
  </si>
  <si>
    <t>BWS 125 4T (404H-94L)</t>
  </si>
  <si>
    <t>CANASTILLA PRENSA CLUTCH BAJAB ORIGINAL</t>
  </si>
  <si>
    <t>BOXER CT100</t>
  </si>
  <si>
    <t>CAPUCHON DE BUJIA</t>
  </si>
  <si>
    <t>UNIVERSAL (BOXER)</t>
  </si>
  <si>
    <t>GS 125 - AX4T - GN - CRYPTON</t>
  </si>
  <si>
    <t>SCOOTER - BWS 125 - AGILITY 125 - DINAMIC 125</t>
  </si>
  <si>
    <t>CAPUCHON DE BUJIA DERECHO</t>
  </si>
  <si>
    <t>PULSAR II-DISCOVER</t>
  </si>
  <si>
    <t>CARBURADOR  PZ30 MOTOLED</t>
  </si>
  <si>
    <t>AKT 200</t>
  </si>
  <si>
    <t>CARBURADOR DUVOX</t>
  </si>
  <si>
    <t>SPLENDOR / ECO DELUXE</t>
  </si>
  <si>
    <t>AKT110 / C90</t>
  </si>
  <si>
    <t>CARBURADOR DUVOX - 73991</t>
  </si>
  <si>
    <t>GN 125H / NOVA / GS 125</t>
  </si>
  <si>
    <t>CARBURADOR PZ26 DUVOX</t>
  </si>
  <si>
    <t>AKT 125 / NKD 125</t>
  </si>
  <si>
    <t xml:space="preserve">CARBURADOR PZ27 DUVOX </t>
  </si>
  <si>
    <t>ARSEN II /SBR 150 /</t>
  </si>
  <si>
    <t>&lt;&lt;</t>
  </si>
  <si>
    <t xml:space="preserve">CARBURADOR PZ30 DUVOX </t>
  </si>
  <si>
    <t>TTX 200 / TTR 200</t>
  </si>
  <si>
    <t>CAUCHO CAMPANA</t>
  </si>
  <si>
    <t>GN 125 / GS 125 / ASPAS NATURAL</t>
  </si>
  <si>
    <t>AX4 / CB110 / BIZ NATURAL</t>
  </si>
  <si>
    <t>GIXXER 150</t>
  </si>
  <si>
    <t>PULSAR I</t>
  </si>
  <si>
    <t xml:space="preserve">PULSAR II / PULSAR 135 /DISCOVER </t>
  </si>
  <si>
    <t>CBF 150 / CB 160 / CB 190R</t>
  </si>
  <si>
    <t>ECO / AKT 110</t>
  </si>
  <si>
    <t>HONDA CBF 125</t>
  </si>
  <si>
    <t>CB 110</t>
  </si>
  <si>
    <t>HERO / ECO DELUXE / ASPAS SUPER</t>
  </si>
  <si>
    <t>AKT 125-150 /EVO</t>
  </si>
  <si>
    <t>AKT 125 SL/ NKD / EVO R3</t>
  </si>
  <si>
    <t>TVS 100 SPORT</t>
  </si>
  <si>
    <t>TVS APACHE 160-180</t>
  </si>
  <si>
    <t>AKT RTX</t>
  </si>
  <si>
    <t>LIBERO 125 / YBR 125 / YBZ</t>
  </si>
  <si>
    <t>LIBERO 110 / YBZ / YBR 125</t>
  </si>
  <si>
    <t>FZ 250 / FZ 2.0</t>
  </si>
  <si>
    <t>RX 100 / RX 115 / V 80 / LB2</t>
  </si>
  <si>
    <t>AX100-115 / FR80-100 / AKT100 / VIVA / BEST</t>
  </si>
  <si>
    <t xml:space="preserve">BOXER CT / KW100 / GTO110/ AN 80 </t>
  </si>
  <si>
    <t>FZ 16 / CB 125E</t>
  </si>
  <si>
    <t>CAUCHO DE LA DIRECCION</t>
  </si>
  <si>
    <t>CAUCHO MORDAZA</t>
  </si>
  <si>
    <t xml:space="preserve">CAUCHO MORDAZA </t>
  </si>
  <si>
    <t>CAUCHO MORDAZA IMBRA</t>
  </si>
  <si>
    <t>CDI</t>
  </si>
  <si>
    <t>CENTRO CLUTCH COMPLETO</t>
  </si>
  <si>
    <t>CBF 150 / XR 150 / RTX 150</t>
  </si>
  <si>
    <t>CENTRO DE CLUTCH COMPLETO</t>
  </si>
  <si>
    <t>BOXER C100 / PLATINO 100</t>
  </si>
  <si>
    <t>ECO 100 / ECO DELUXE</t>
  </si>
  <si>
    <t>COMANDO DERECHO</t>
  </si>
  <si>
    <t>GS 125</t>
  </si>
  <si>
    <t>GN NOVA</t>
  </si>
  <si>
    <t>AGILITY 125</t>
  </si>
  <si>
    <t>BWS 4T</t>
  </si>
  <si>
    <t>FZ 2.0 / FZ 2.5 /XTZ 250</t>
  </si>
  <si>
    <t xml:space="preserve">COMANDO DERECHO </t>
  </si>
  <si>
    <t>GN 125H (7CABLES)</t>
  </si>
  <si>
    <t>GN 125H (8CABLES)</t>
  </si>
  <si>
    <t>GN 125H (9 CABLES) 2006</t>
  </si>
  <si>
    <t>AKT TT 125/150 - XR 150</t>
  </si>
  <si>
    <t>COMANDO DERECHO ROSCA</t>
  </si>
  <si>
    <t>COMANDO IZQUIERDO</t>
  </si>
  <si>
    <t xml:space="preserve">COMANDO IZQUIERDO </t>
  </si>
  <si>
    <t xml:space="preserve">AX4 </t>
  </si>
  <si>
    <t>XR 150</t>
  </si>
  <si>
    <t>CUNA DE DIRECCION</t>
  </si>
  <si>
    <t>AX4T / AX EVOLUTION</t>
  </si>
  <si>
    <t>BOXER CT 100 /  PULSAR 125-135 / DISCOVER 100-125-135 /  BOXER BM 100</t>
  </si>
  <si>
    <t>AGILITY 125RS /NACKED</t>
  </si>
  <si>
    <t>RX100 - 115  BWS 125 / DT125 - CRYPTON 110</t>
  </si>
  <si>
    <t xml:space="preserve">CUNA DE DIRECCION CON GUARDAPOLVO CAJA </t>
  </si>
  <si>
    <t>GN 125H /CHR125</t>
  </si>
  <si>
    <t>CUNA DE DIRECCION DUVOX</t>
  </si>
  <si>
    <t xml:space="preserve">BEST 125 - VIVAX 115 </t>
  </si>
  <si>
    <t>AX 100 / AX 115 / AKT 100</t>
  </si>
  <si>
    <t>VIVA R</t>
  </si>
  <si>
    <t>XLR 125 / XR 150</t>
  </si>
  <si>
    <t>AKT TT 125-150 /BERA</t>
  </si>
  <si>
    <t xml:space="preserve">AKT 125 SPORT / HONDA STORM </t>
  </si>
  <si>
    <t>CUNA DE DIRECCION DUVOX - CANASTILLA</t>
  </si>
  <si>
    <t>AKT TTR</t>
  </si>
  <si>
    <t>DT 125 / FZ - BWS - YBR - CRYPTON</t>
  </si>
  <si>
    <t>CB110 / ECO DELUXE / CBF 125-150</t>
  </si>
  <si>
    <t xml:space="preserve">AKT 110 </t>
  </si>
  <si>
    <t xml:space="preserve">FZ 16 / CRYPTON </t>
  </si>
  <si>
    <t>CUNA DE DIRECCION ORIGINAL</t>
  </si>
  <si>
    <t xml:space="preserve">BOXER </t>
  </si>
  <si>
    <t>CUNA DE DIRECCION SIN GUARDA DUVOX</t>
  </si>
  <si>
    <t>CUNA DE DIRECCION SPARTAN</t>
  </si>
  <si>
    <t>XTZ 250 CONICA</t>
  </si>
  <si>
    <t>CUNA DE DIRECCION VITRIX</t>
  </si>
  <si>
    <t>XTZ 125 (2014-2017)</t>
  </si>
  <si>
    <t>DESLIZADOR DE CADENILLA BAJAJ</t>
  </si>
  <si>
    <t>DIRECCIONAL AND POWER</t>
  </si>
  <si>
    <t>BOXER CT 100</t>
  </si>
  <si>
    <t xml:space="preserve">AKT NKD HUMO </t>
  </si>
  <si>
    <t>DIRECCIONAL CROMADO NARANJA</t>
  </si>
  <si>
    <t>GN 125F/ OWEN M/V</t>
  </si>
  <si>
    <t>DIRECCIONAL DEL/DER</t>
  </si>
  <si>
    <t>GN 2011 / AX 100 II</t>
  </si>
  <si>
    <t>DIRECCIONAL DEL/DER - TRA/ÏZQ</t>
  </si>
  <si>
    <t>DIRECCIONAL DEL/DER HUMO</t>
  </si>
  <si>
    <t>DIRECCIONAL DEL/DER NARANJA</t>
  </si>
  <si>
    <t>ECO DELUXE</t>
  </si>
  <si>
    <t>DIRECCIONAL DEL/DER TRANSPARENTE</t>
  </si>
  <si>
    <t xml:space="preserve">DIRECCIONAL DEL/DER TRANSPARENTE </t>
  </si>
  <si>
    <t>PULSAR 180 - DISCOVER 125/135 - PLATINO 125</t>
  </si>
  <si>
    <t>DIRECCIONAL DEL/DER-TRA/IZQ COCA HUMO</t>
  </si>
  <si>
    <t>AKT NKD MN/AKT TTR 125 - 180</t>
  </si>
  <si>
    <t>DIRECCIONAL DEL/DER-TRA/IZQ TRANSPARENTE</t>
  </si>
  <si>
    <t>PULSAR 200 NS - PULSAR 180</t>
  </si>
  <si>
    <t xml:space="preserve">DIRECCIONAL DEL/IZQ </t>
  </si>
  <si>
    <t>DIRECCIONAL DEL/IZQ  NARANJA</t>
  </si>
  <si>
    <t xml:space="preserve"> </t>
  </si>
  <si>
    <t>DIRECCIONAL DEL/IZQ - TRA/DER</t>
  </si>
  <si>
    <t>DIRECCIONAL DEL/IZQ HUMO</t>
  </si>
  <si>
    <t>DIRECCIONAL DEL/IZQ NARANJA</t>
  </si>
  <si>
    <t>AX 4</t>
  </si>
  <si>
    <t>DIRECCIONAL DEL/IZQ TRANSPARENTE</t>
  </si>
  <si>
    <t>DIRECCIONAL DEL/IZQ-TRA/DER COCA HUMO</t>
  </si>
  <si>
    <t>DIRECCIONAL DEL/IZQ-TRA/DER TRANSPARETE</t>
  </si>
  <si>
    <t>PULSAR 200 NS</t>
  </si>
  <si>
    <t>DIRECCIONAL DERECHO</t>
  </si>
  <si>
    <t>XR 150 L - HONDA (CBF150)</t>
  </si>
  <si>
    <t>DIRECCIONAL ELFO FIJO - 01</t>
  </si>
  <si>
    <t>UNIVERSAL - PAR</t>
  </si>
  <si>
    <t>DIRECCIONAL IZQUIERDO</t>
  </si>
  <si>
    <t xml:space="preserve">DIRECCIONAL LINEA ECONOMICA </t>
  </si>
  <si>
    <t xml:space="preserve">XRE 300 - MRX LINEA ECONOMICA </t>
  </si>
  <si>
    <t>DIRECCIONAL LINEA FIJO - 20</t>
  </si>
  <si>
    <t>DIRECCIONAL LINEA SECUENCIAL - 04</t>
  </si>
  <si>
    <t xml:space="preserve">DIRECCIONAL OJO AGUILA LED AMARILLO </t>
  </si>
  <si>
    <t>DIRECCIONAL REDONDO TRANSPARENTE</t>
  </si>
  <si>
    <t>GN 125 2008</t>
  </si>
  <si>
    <t>DIRECCIONAL TRA/DER HUMO</t>
  </si>
  <si>
    <t>DIRECCIONAL TRANSPARENTE</t>
  </si>
  <si>
    <t>MRX 125</t>
  </si>
  <si>
    <t>DIRECCIONAL TRASERO DERECHO CAJA X4 UNIDADES</t>
  </si>
  <si>
    <t xml:space="preserve">BWS 125R FI </t>
  </si>
  <si>
    <t>DIRECCIONAL TRASERO IZQUIERDO</t>
  </si>
  <si>
    <t xml:space="preserve"> BWS 125R FI </t>
  </si>
  <si>
    <t xml:space="preserve">DIRECCIONAL TRAZ / IZQ </t>
  </si>
  <si>
    <t>GN 2011 /AX 100 II</t>
  </si>
  <si>
    <t>DIRECCIONAL TRAZ/DER NARANJA</t>
  </si>
  <si>
    <t>DIRECCIONAL TRAZ/IZQ HUMO</t>
  </si>
  <si>
    <t>DISCO DE CLUTCH (4 DISCOS)</t>
  </si>
  <si>
    <t>BEST 125 / VIVAX / AX4</t>
  </si>
  <si>
    <t>DISCO DE CLUTCH (5 DISCOS)</t>
  </si>
  <si>
    <t>DISCOVER 125-135</t>
  </si>
  <si>
    <t>XL / ECO DELUXE / AKT 125 SL / TT 125 / NKD 125</t>
  </si>
  <si>
    <t>DISCO DE CLUTCH (5 DISCOS) HERO ORIGINAL</t>
  </si>
  <si>
    <t xml:space="preserve">DISCO DE FRENO </t>
  </si>
  <si>
    <t xml:space="preserve">DISCO DE FRENO DELANTERO </t>
  </si>
  <si>
    <t>BEST</t>
  </si>
  <si>
    <t>GS</t>
  </si>
  <si>
    <t>PULSAR NS 200</t>
  </si>
  <si>
    <t xml:space="preserve">CRYPTON 110/115 </t>
  </si>
  <si>
    <t xml:space="preserve">DISCO DE FRENO TRASERO </t>
  </si>
  <si>
    <t>ESPEJO</t>
  </si>
  <si>
    <t xml:space="preserve">ESPEJO </t>
  </si>
  <si>
    <t>ESPEJO DURAMAX</t>
  </si>
  <si>
    <t>LIBERO 125 / YBR 125 /SZR / XTZ 125 - 10MM</t>
  </si>
  <si>
    <t xml:space="preserve">ESPEJO OVALADO </t>
  </si>
  <si>
    <t>BEST 125 - 8 MM</t>
  </si>
  <si>
    <t>ECO DELUXE - 10MM</t>
  </si>
  <si>
    <t>AKT 125-150 / EVO /NKD / TT 10MM</t>
  </si>
  <si>
    <t>ESPEJO REDONDO CROMADO</t>
  </si>
  <si>
    <t>GN 125 H M/V 10 MM</t>
  </si>
  <si>
    <t>ESPEJO TIPO ORIGINAL</t>
  </si>
  <si>
    <t>LIBERO 125 / XTZ 125</t>
  </si>
  <si>
    <t xml:space="preserve">ESPEJO TUERCA LARGA </t>
  </si>
  <si>
    <t>BEST 125</t>
  </si>
  <si>
    <t xml:space="preserve">ESPUMA FILTRO DE AIRE </t>
  </si>
  <si>
    <t>PULSAR 135 / BOXER BM100</t>
  </si>
  <si>
    <t>BWS 125 GRANDE</t>
  </si>
  <si>
    <t>BWS 125 PEQUEÑA</t>
  </si>
  <si>
    <t>FAROLA COMPLETA NEGRA CON VICERA Y CALCOMANIAS</t>
  </si>
  <si>
    <t>FAROLA CON CARENAJE AZUL CON
CALCOMANIA AZUL</t>
  </si>
  <si>
    <t>FAROLA CON CARENAJE NEGRO CON
CALCOMANIA GRIS</t>
  </si>
  <si>
    <t xml:space="preserve">FAROLA CON CARENAJE ROJO CON
CALCOMANIA ROJA Y VISOR
</t>
  </si>
  <si>
    <t xml:space="preserve">FILTRO DE ACEITE </t>
  </si>
  <si>
    <t>BAJAB</t>
  </si>
  <si>
    <t>SUZUKI</t>
  </si>
  <si>
    <t>NS 200</t>
  </si>
  <si>
    <t>YAMAHA</t>
  </si>
  <si>
    <t xml:space="preserve">FILTRO DE ACEITE TORITO </t>
  </si>
  <si>
    <t>FILTRO DE ACEITE VARROC</t>
  </si>
  <si>
    <t xml:space="preserve">FILTRO DE AIRE CON PANEL CARCAZA </t>
  </si>
  <si>
    <t>XR 150L</t>
  </si>
  <si>
    <t>FILTRO DE AIRE CON PANELCARCAZA</t>
  </si>
  <si>
    <t>AX 4T</t>
  </si>
  <si>
    <t>DISCOVER 125 ST / DUKE 200</t>
  </si>
  <si>
    <t>PULSAR 135</t>
  </si>
  <si>
    <t>BWS 125 - KYC 150</t>
  </si>
  <si>
    <t>FILTRO DE GASOLINA</t>
  </si>
  <si>
    <t>FILTRO DE GASOLINA DUVOX</t>
  </si>
  <si>
    <t>FLASHER ELECTRONICO UNIVERSAL</t>
  </si>
  <si>
    <t xml:space="preserve">FLSAHER ELECTRONICO </t>
  </si>
  <si>
    <t>GUAYA ACELERADOR</t>
  </si>
  <si>
    <t>VIVAX 115 / VIVA 115 F</t>
  </si>
  <si>
    <t>GN 125 NOVA</t>
  </si>
  <si>
    <t>AX 100</t>
  </si>
  <si>
    <t>FZ 16 2010 - 2011</t>
  </si>
  <si>
    <t>XTZ 125 MN (2015)</t>
  </si>
  <si>
    <t>XTZ 250</t>
  </si>
  <si>
    <t>DISCOVER 100</t>
  </si>
  <si>
    <t>CRYPTON FI</t>
  </si>
  <si>
    <t xml:space="preserve">GUAYA ACELERADOR                                            </t>
  </si>
  <si>
    <t>BOXER CT 100 2006</t>
  </si>
  <si>
    <t>MRX 125 - 150</t>
  </si>
  <si>
    <t>GUAYA ACELERADOR CON RETORNO</t>
  </si>
  <si>
    <t>BWS 4T COMPLETA</t>
  </si>
  <si>
    <t xml:space="preserve">GUAYA ACELERADOR CURVA METALICA DOBLE                                           </t>
  </si>
  <si>
    <t>GUAYA CLUTCH</t>
  </si>
  <si>
    <t>AKT 125 / TTR 150 / NKD 125 MODELO NUEVO  /  TT 125</t>
  </si>
  <si>
    <t xml:space="preserve">PULSAR II </t>
  </si>
  <si>
    <t>MRX 125 - 150 - 200</t>
  </si>
  <si>
    <t>BOXER KS 102</t>
  </si>
  <si>
    <t>LIBERO 110</t>
  </si>
  <si>
    <t>FZ 16 - FZ FI</t>
  </si>
  <si>
    <t xml:space="preserve">GUAYA CLUTCH </t>
  </si>
  <si>
    <t>AKT 180 - TTX - TTR 180 - OWEN</t>
  </si>
  <si>
    <t>AKT TT 125-150</t>
  </si>
  <si>
    <t xml:space="preserve">TVS 100 SPORT </t>
  </si>
  <si>
    <t>GUAYA CLUTCH (415-0385)</t>
  </si>
  <si>
    <t>NXR BROSS / XR HONDA</t>
  </si>
  <si>
    <t>GUAYA CLUTCH AND POWER</t>
  </si>
  <si>
    <t>GUAYA CLUTCH CABLE LARGO</t>
  </si>
  <si>
    <t>AKT 125 SL / NKD MODELO VIEJO /  TTR</t>
  </si>
  <si>
    <t xml:space="preserve">GUAYA CLUTCH SENCILLA </t>
  </si>
  <si>
    <t>GUAYA CLUTH DURAMAX</t>
  </si>
  <si>
    <t>GUAYA CLUTH  EVOL</t>
  </si>
  <si>
    <t>LIBERO 125 - YBR 125</t>
  </si>
  <si>
    <t>GUAYA CLUTH (421 -0108)</t>
  </si>
  <si>
    <t xml:space="preserve">PULSAR 200 NS </t>
  </si>
  <si>
    <t xml:space="preserve">GUAYA DE FRENO </t>
  </si>
  <si>
    <t xml:space="preserve">VIVAX </t>
  </si>
  <si>
    <t>GUAYA FRENO</t>
  </si>
  <si>
    <t>BOXER CT-KS / PLATINO</t>
  </si>
  <si>
    <t>GUAYA TACOMETRO (34940-05340-000)</t>
  </si>
  <si>
    <t>GN 125H</t>
  </si>
  <si>
    <t>GUAYA TACOMETRO (34940-05371-000)</t>
  </si>
  <si>
    <t>GN 125 NOVA - GS 125</t>
  </si>
  <si>
    <t>GUAYA VELOCIMETRO</t>
  </si>
  <si>
    <t>DT 125 FD / XTZ 125</t>
  </si>
  <si>
    <t xml:space="preserve">GN 125 NOVA / GS 125 </t>
  </si>
  <si>
    <t>DISCOVER 100 / PLATINO 100 BOXER</t>
  </si>
  <si>
    <t>ECO DELUXE/ ECO 100 - CBF 110</t>
  </si>
  <si>
    <t xml:space="preserve">CRYPTON 110  F.D /ARSEN II </t>
  </si>
  <si>
    <t>GN 12H</t>
  </si>
  <si>
    <t>GUAYA VELOCIMETRO AND POWER</t>
  </si>
  <si>
    <t>HORQUILLA DE SELECTOR</t>
  </si>
  <si>
    <t>ECO - ECO DELUXE - ECO 100 - AKT 110 - WAWE 100</t>
  </si>
  <si>
    <t>INDICADOR DE CAMBIO</t>
  </si>
  <si>
    <t xml:space="preserve">GN 125 CON BASE </t>
  </si>
  <si>
    <t>INTERRUPTOR</t>
  </si>
  <si>
    <t>ENCENDIDO LUCES BEST 125</t>
  </si>
  <si>
    <t xml:space="preserve">ENCENDIDO FAROLA UNIVERSAL </t>
  </si>
  <si>
    <t>ENCENDIDO BEST 125 AMARILLO</t>
  </si>
  <si>
    <t>LUZ ALTA Y BAJA BEST 125</t>
  </si>
  <si>
    <t xml:space="preserve"> PITO BEST 125</t>
  </si>
  <si>
    <t xml:space="preserve">INTERRUPTOR </t>
  </si>
  <si>
    <t>DIRECCIONALES UNIVERSAL</t>
  </si>
  <si>
    <t xml:space="preserve">INTERRUPTOR  </t>
  </si>
  <si>
    <t>ALTAS Y BAJAS GRANDE CON REBOTE NEGRO</t>
  </si>
  <si>
    <t>PITO GRANDE NEGRO</t>
  </si>
  <si>
    <t>INTERRUPTOR  ORIGINAL</t>
  </si>
  <si>
    <t>CAMBIO DE LUCES - LUZ ALTA Y BAJA BEST 125</t>
  </si>
  <si>
    <t>INTERRUPTOR CAMBIO DE LUCES GRANDE AZUL</t>
  </si>
  <si>
    <t xml:space="preserve"> CAMBIO DE LUCES GRANDE AZUL - ENCENDIDO DE FAROLA </t>
  </si>
  <si>
    <t>KIT DE ARRASTRE</t>
  </si>
  <si>
    <t>AX100</t>
  </si>
  <si>
    <t>AX4 T - BEST - VIVA - VIVA R</t>
  </si>
  <si>
    <t xml:space="preserve">GS 125 </t>
  </si>
  <si>
    <t>PULSAR 180 UG</t>
  </si>
  <si>
    <t>DISCOVER 125 - 135</t>
  </si>
  <si>
    <t>CB 100</t>
  </si>
  <si>
    <t xml:space="preserve">AKT 125 - NKD </t>
  </si>
  <si>
    <t>KIT DE ARRASTRE 13T-43T / 520H-120L (KAR7001)</t>
  </si>
  <si>
    <t>MRX 125/151</t>
  </si>
  <si>
    <t>KIT DE ARRASTRE 14T-40T / 428H-132L</t>
  </si>
  <si>
    <t>FZ 160 - SZ</t>
  </si>
  <si>
    <t>KIT DE ARRASTRE 14T-50T / 428H-132L</t>
  </si>
  <si>
    <t>KIT DE ARRASTRE 15T-41T / 420H-122L</t>
  </si>
  <si>
    <t>CRYPTON 115 - KAR5006</t>
  </si>
  <si>
    <t>CRYPTON 115 - KA5008</t>
  </si>
  <si>
    <t>KIT DE ARRASTRE 15T-41T / 428H - 132L (KAR5006)</t>
  </si>
  <si>
    <t>MRX 125/150</t>
  </si>
  <si>
    <t>KIT DE ARRASTRE DINGJIAN - DJ</t>
  </si>
  <si>
    <t>KIT DE ARRASTRE ESPARTAN</t>
  </si>
  <si>
    <t>AKT SL - NKD 125</t>
  </si>
  <si>
    <t xml:space="preserve">KIT DE ARRASTRE GOLD </t>
  </si>
  <si>
    <t xml:space="preserve">ECO DELUXE </t>
  </si>
  <si>
    <t>KIT DE ARRASTRE MOTOTEC</t>
  </si>
  <si>
    <t>BOXER CT100 - PLATINO - BOXER KS</t>
  </si>
  <si>
    <t>KIT DE ARRASTRE MOTOTEC 428H</t>
  </si>
  <si>
    <t xml:space="preserve"> 100 REFORZDA - VIVA 115 - BEST - AX4</t>
  </si>
  <si>
    <t xml:space="preserve">KIT DE ARRASTRE SPARTAN </t>
  </si>
  <si>
    <t>AKT 150 / TTR 2013 / TT 125-150</t>
  </si>
  <si>
    <t>KIT DE CADENILLA AKT</t>
  </si>
  <si>
    <t>ECO DELUXE / AKT 110 /ESPLENDOR / FLEX</t>
  </si>
  <si>
    <t xml:space="preserve">KIT MEDIO DE EMPAQUETADURA </t>
  </si>
  <si>
    <t>KIT RETENEDORES</t>
  </si>
  <si>
    <t>GN 125 - GS 125</t>
  </si>
  <si>
    <t>BEST 125 - VIVAX 115 - X100</t>
  </si>
  <si>
    <t>BOXER 100 - PLATINO 100 - DISCOVER</t>
  </si>
  <si>
    <t>LIQUIDO DE FRENO</t>
  </si>
  <si>
    <t xml:space="preserve">LLAVE DE GASOLINA </t>
  </si>
  <si>
    <t>GN 125 / AX 100</t>
  </si>
  <si>
    <t>VIVA 115 FD / VIVA X 115 / BEST</t>
  </si>
  <si>
    <t>AKT 125 SPORT</t>
  </si>
  <si>
    <t>CRYPTON 115</t>
  </si>
  <si>
    <t>MANECILLA DERECHA</t>
  </si>
  <si>
    <t>GN 125 H LARGA - TT 180</t>
  </si>
  <si>
    <t>AX4 T</t>
  </si>
  <si>
    <t>DR 150 - NKD 125</t>
  </si>
  <si>
    <t>XTZ 150 - 125</t>
  </si>
  <si>
    <t xml:space="preserve">MANECILLA DERECHA </t>
  </si>
  <si>
    <t>AKT 125</t>
  </si>
  <si>
    <t>PULSAR 200 NS / PULSAR 180 /PULSAR 220</t>
  </si>
  <si>
    <t xml:space="preserve">MANECILLA DERECHA LARGA </t>
  </si>
  <si>
    <t>BOXER CT / PLATINO 100 / DISCOVER</t>
  </si>
  <si>
    <t xml:space="preserve">MANECILLA FRENO (DERECHA) CROMADA </t>
  </si>
  <si>
    <t>MANECILLA IZQUIERDA</t>
  </si>
  <si>
    <t>DR 150</t>
  </si>
  <si>
    <t>XTZ 150</t>
  </si>
  <si>
    <t xml:space="preserve">MANECILLA IZQUIERDA </t>
  </si>
  <si>
    <t xml:space="preserve">GN 125 H CORTA </t>
  </si>
  <si>
    <t>AX 100 CORTA</t>
  </si>
  <si>
    <t>MANECILLA IZQUIERDA (CON BASE) DURAMAX</t>
  </si>
  <si>
    <t>GS 125 / AX4 / GN / UNIVERSAL</t>
  </si>
  <si>
    <t xml:space="preserve">MANECILLA IZQUIERDA CON BASE </t>
  </si>
  <si>
    <t>AKT NKD / SL/SLR/ TT 125-150</t>
  </si>
  <si>
    <t>FZ 16 / FZN 150 2.0</t>
  </si>
  <si>
    <t xml:space="preserve">MANECILLA IZQUIERDA CORTA </t>
  </si>
  <si>
    <t>MANIGUETA IZQUIERDA UNIVERSAL COMPLETA</t>
  </si>
  <si>
    <t>AX4 / GN / GS</t>
  </si>
  <si>
    <t>MANNEILLA DERECHA</t>
  </si>
  <si>
    <t>MANUBRIO AZUL</t>
  </si>
  <si>
    <t xml:space="preserve">MANUBRIO NEGRO </t>
  </si>
  <si>
    <t xml:space="preserve">MANUBRIO PLATA </t>
  </si>
  <si>
    <t>MANUBRIO ROJO</t>
  </si>
  <si>
    <t>MICO CLUTCH TORNILLO HIERRO</t>
  </si>
  <si>
    <t>PASTILLA DE FRENO</t>
  </si>
  <si>
    <t xml:space="preserve">XTZ 250 2016-2020 / XTZ 150 </t>
  </si>
  <si>
    <t xml:space="preserve">AXIS 90 / BWS 100 </t>
  </si>
  <si>
    <t>HORSE</t>
  </si>
  <si>
    <t xml:space="preserve">PASTILLA DE FRENO </t>
  </si>
  <si>
    <t>BWS 125 4T M/N / DR 150</t>
  </si>
  <si>
    <t xml:space="preserve">CB 150 INVICTA </t>
  </si>
  <si>
    <t>AKT 110-125-SL / NKD / FLEX / ACTIVE</t>
  </si>
  <si>
    <t xml:space="preserve">AKT 100 / DR 200 / SOCIALISTA </t>
  </si>
  <si>
    <t>DR TRASERA/ YZ 125 / DR 350</t>
  </si>
  <si>
    <t>PASTILLA DE FRENO AND POWER</t>
  </si>
  <si>
    <t>AGILITY / XTZ 125 / GS 125 / TTR / TS / HORSE - MRX  DELANTERA</t>
  </si>
  <si>
    <t xml:space="preserve">BWS 125 FI / DR 150 </t>
  </si>
  <si>
    <t>VIVA R 115 / YCZ 110 / WAWE 110 /SZ R 16</t>
  </si>
  <si>
    <t>CRYPTON 115 FI / NMAX 155</t>
  </si>
  <si>
    <t>INDIVIDUAL</t>
  </si>
  <si>
    <t>PASTILLA DE FRENO BRAKE PAD</t>
  </si>
  <si>
    <t>CRYPTON 115 FI - DELANTERAS NMAX</t>
  </si>
  <si>
    <t>PASTILLA DE FRENO CHOHO</t>
  </si>
  <si>
    <t xml:space="preserve"> SIGMAD - GN125</t>
  </si>
  <si>
    <t xml:space="preserve">PASTILLA DE FRENO CON SEGURO QUITA RUIDO </t>
  </si>
  <si>
    <t>CBF 150 M/N / ESPLENDOR / INVICTA</t>
  </si>
  <si>
    <t xml:space="preserve">PASTILLA DE FRENO DELANTERA </t>
  </si>
  <si>
    <t>PULSAR 200 NS / DOMINAR 400</t>
  </si>
  <si>
    <t>PASTILLA DE FRENO EVOL</t>
  </si>
  <si>
    <t>PULSAR 135-180 / DISCOVER / XR 125-150</t>
  </si>
  <si>
    <t>PASTILLA DE FRENO JAPAN DELANTERAS</t>
  </si>
  <si>
    <t>PASTILLA DE FRENO MOTORPOWER (CAJA NARANJA)</t>
  </si>
  <si>
    <t>ARSEN / BEST / MRX 125-150</t>
  </si>
  <si>
    <t xml:space="preserve">PASTILLA DE FRENO TRASERA </t>
  </si>
  <si>
    <t>CR5 - AKT 110 - AKT 150 / TTR 180 -200</t>
  </si>
  <si>
    <t>PASTILLA DE FRENO TRASERA  DUVOX</t>
  </si>
  <si>
    <t>PULSAR 200 NS TRASERA / BWS 125 - BWS 125FI TRASERA / PULSAR NS 160</t>
  </si>
  <si>
    <t>PASTILLA DE FRENO TRASERA STRONGK</t>
  </si>
  <si>
    <t>XTZ 250 - DR 650 - 125 - FZ FI TRASERAS</t>
  </si>
  <si>
    <t>PASTILLA DE FRENO TRASERAS BAJAB ORIGINAL</t>
  </si>
  <si>
    <t>PULSAR 200 NS - TRASERA BWS 125 FI</t>
  </si>
  <si>
    <t>PASTILLAS DE FRENO</t>
  </si>
  <si>
    <t>CRYPTON 115 2018 - LIBERO 125 TRASERAS NMAX</t>
  </si>
  <si>
    <t>CRYPTON 115 / LIBERO 125 / YBR 250 / SG 125</t>
  </si>
  <si>
    <t>BEST 125/ VIVA 115 /CBZ 160</t>
  </si>
  <si>
    <t>AGILITY 125 /XM 180 / DEL/AKT EVO
DELANT / GS 125 / XTZ 125 / TTR 200</t>
  </si>
  <si>
    <t xml:space="preserve">PASTILLAS DE FRENO 
</t>
  </si>
  <si>
    <t>PULSAR 180-135-200 / FZ 16 / BOXER BM 150 - YBR - FZ 3.0</t>
  </si>
  <si>
    <t>PASTILLAS DE FRENO KETOZ</t>
  </si>
  <si>
    <t>PULSAR 180-135-200 / FZ 16 / FZ FI DELANTERA / YBR / XR 125-150</t>
  </si>
  <si>
    <t>PATA LATERAL TORNILLO Y RESORTE</t>
  </si>
  <si>
    <t>GN 125 / OWEN</t>
  </si>
  <si>
    <t>AX 100-115</t>
  </si>
  <si>
    <t>PLATINO 125</t>
  </si>
  <si>
    <t>PLATINO 100</t>
  </si>
  <si>
    <t>PEDAL DE CAMBIO</t>
  </si>
  <si>
    <t>BOXER CT 4</t>
  </si>
  <si>
    <t xml:space="preserve">PEDAL DE ENCENDIDO </t>
  </si>
  <si>
    <t xml:space="preserve">PEDAL DE FRENO </t>
  </si>
  <si>
    <t xml:space="preserve">PERILLA DE FRENO </t>
  </si>
  <si>
    <t>TRASERA UNIVERSAL</t>
  </si>
  <si>
    <t>LIBERO 125 / YBR 125 / XTZ 125</t>
  </si>
  <si>
    <t>DELANTERA REDONDA</t>
  </si>
  <si>
    <t>GN</t>
  </si>
  <si>
    <t>PIÑON ARRASTRE</t>
  </si>
  <si>
    <t>BOXER KS-DISCOVER 125</t>
  </si>
  <si>
    <t>PIÑON DE VELOCIMETRO</t>
  </si>
  <si>
    <t>GN 125 / GS 125</t>
  </si>
  <si>
    <t xml:space="preserve">AKTT 125 SL SPORT </t>
  </si>
  <si>
    <t xml:space="preserve">PIÑON DE VELOCIMETRO </t>
  </si>
  <si>
    <t>XTZ 125 / DT 125</t>
  </si>
  <si>
    <t>PIÑON DE VELOCIMETRO CON CABLE</t>
  </si>
  <si>
    <t>PULSAR 200 NS / PULSAR 180 UG</t>
  </si>
  <si>
    <t>PIÑON DELANTERO 13T</t>
  </si>
  <si>
    <t>AKT SPORT / SL / NKD /EVO</t>
  </si>
  <si>
    <t>PIÑON DELANTERO 14T</t>
  </si>
  <si>
    <t>GN 125H/GS 125</t>
  </si>
  <si>
    <t>BEST / VIVAX / AX4</t>
  </si>
  <si>
    <t>AKT SPORT / SL / NKD /EVO - FLEX 125 - CB 110</t>
  </si>
  <si>
    <t>CD 100 / ECO 100</t>
  </si>
  <si>
    <t>PIÑON DELANTERO 14T/420H</t>
  </si>
  <si>
    <t>PIÑON DELANTERO 14T/428H</t>
  </si>
  <si>
    <t xml:space="preserve">PIÑON DELANTERO 15T </t>
  </si>
  <si>
    <t>CBF 150 / XR 150 /NXR 125</t>
  </si>
  <si>
    <t>PIÑON DELANTERO 428-16T</t>
  </si>
  <si>
    <t>AKT NKD</t>
  </si>
  <si>
    <t>PIÑON VELOCIMETRO</t>
  </si>
  <si>
    <t xml:space="preserve">PITO </t>
  </si>
  <si>
    <t xml:space="preserve">PITO PEQUEÑO - MOTOLED </t>
  </si>
  <si>
    <t>PITO UNIVERSAL</t>
  </si>
  <si>
    <t>PEQUEÑO 12V</t>
  </si>
  <si>
    <t>PORTA FUSIBLE KANUNI</t>
  </si>
  <si>
    <t>BOXER / PLATINO 100 / PULSAR 135 -180</t>
  </si>
  <si>
    <t xml:space="preserve">PORTA PLACA COLOR ACERO CON TORNILLOS </t>
  </si>
  <si>
    <t>PORTA PLACA METALICO NEGRO</t>
  </si>
  <si>
    <t>POSAPIES DELANTERO - CAUCHO</t>
  </si>
  <si>
    <t>AKT 125 SL</t>
  </si>
  <si>
    <t xml:space="preserve">POSAPIES DELANTERO COMPLETO </t>
  </si>
  <si>
    <t xml:space="preserve">GN 125 H </t>
  </si>
  <si>
    <t>POSAPIES TRASERO</t>
  </si>
  <si>
    <t>BEST 115 / VIVAX</t>
  </si>
  <si>
    <t xml:space="preserve">POSAPIES TRASERO  </t>
  </si>
  <si>
    <t>GN 125 H / NKD 125</t>
  </si>
  <si>
    <t>PUÑOS DE GOMA</t>
  </si>
  <si>
    <t>RAMAL DE INSTALCIÓN BAJAB ORIGINAL</t>
  </si>
  <si>
    <t xml:space="preserve">RESORTE DE FRENO </t>
  </si>
  <si>
    <t>RETENEDOR DE BARRA</t>
  </si>
  <si>
    <t>AKT 110-125 / AX4T / VIVAX / BEST / CRYPTON 125</t>
  </si>
  <si>
    <t>RX115 / RX100 INDU / YBR /LIBERO / GS 125</t>
  </si>
  <si>
    <t>RX115 /CD100 / ECO /BOXER / PLATINO</t>
  </si>
  <si>
    <t>KIT 10</t>
  </si>
  <si>
    <t xml:space="preserve">RETENEDOR DE BARRA </t>
  </si>
  <si>
    <t>AX100 / KW100</t>
  </si>
  <si>
    <t>BWS 125 / SRZ 150-160</t>
  </si>
  <si>
    <t>PULSAR 200</t>
  </si>
  <si>
    <t>AK 200 AK 235 RTX</t>
  </si>
  <si>
    <t>RETENEDOR DE BARRA  AKT</t>
  </si>
  <si>
    <t xml:space="preserve">NKD </t>
  </si>
  <si>
    <t>XR / BROSS / DISCOVER / PULSAR 135</t>
  </si>
  <si>
    <t>RETENEDOR DE BARRA BAJAB ORIGINAL</t>
  </si>
  <si>
    <t>BOXER CT 100 - PLATINO - DISCOVER - XR 125/BROSS 125</t>
  </si>
  <si>
    <t xml:space="preserve">RETENEDOR DE BARRA TIPO ORIGINAL </t>
  </si>
  <si>
    <t>RETENEDOR DE BARRA YAMAHA ORIGINAL</t>
  </si>
  <si>
    <t>XTZ 125 ORIGINAL</t>
  </si>
  <si>
    <t>RUN 3 GOLPES (APAGADOR DE LUCES)</t>
  </si>
  <si>
    <t>RUN NEGRO 2 GOLPES (APAGADORES DE LUCES)</t>
  </si>
  <si>
    <t>UNIERSAL</t>
  </si>
  <si>
    <t xml:space="preserve">SEGURO QUITA RUIDO </t>
  </si>
  <si>
    <t>GS 125 / AKT NKD - TTR</t>
  </si>
  <si>
    <t>PULSAR 135/180/220</t>
  </si>
  <si>
    <t>PULSAR 150</t>
  </si>
  <si>
    <t>CBF 150 / CB 16F /SWITCH</t>
  </si>
  <si>
    <t>CB 150</t>
  </si>
  <si>
    <t>BWS 2T</t>
  </si>
  <si>
    <t>FZ 16 / YBR / PULSAR / DISCOVER</t>
  </si>
  <si>
    <t>SELLOS DE VALVULA  YAMAHA</t>
  </si>
  <si>
    <t>CRYPTON - FZ16 - XTZ125</t>
  </si>
  <si>
    <t>PAR</t>
  </si>
  <si>
    <t>SOCKET DE FAROLA</t>
  </si>
  <si>
    <t>SOCKET TRICETA</t>
  </si>
  <si>
    <t>STOP</t>
  </si>
  <si>
    <t xml:space="preserve">STOP INTEGRADO </t>
  </si>
  <si>
    <t xml:space="preserve">SWICH LED AZUL </t>
  </si>
  <si>
    <t xml:space="preserve">SWICH LED BLANCO </t>
  </si>
  <si>
    <t xml:space="preserve">SWICH LED ROJO </t>
  </si>
  <si>
    <t>SWITCHE DE ENCENDIDO</t>
  </si>
  <si>
    <t>AX 4T /  GN NOVA</t>
  </si>
  <si>
    <t>BEST  FD 125</t>
  </si>
  <si>
    <t xml:space="preserve">SWITCHE DE ENCENDIDO </t>
  </si>
  <si>
    <t>TAPA DE GASOLINA</t>
  </si>
  <si>
    <t xml:space="preserve">TAPA PIÑON </t>
  </si>
  <si>
    <t>BOXER CT 100 MODELO VIEJO</t>
  </si>
  <si>
    <t>TAPON ACEITE + FILTRO MALLA ACEITE + RESORTE + ORING</t>
  </si>
  <si>
    <t>AKT 125 / NKD</t>
  </si>
  <si>
    <t xml:space="preserve">TENSOR DE CADENA </t>
  </si>
  <si>
    <t>GN 125 H / GS / OWEN</t>
  </si>
  <si>
    <t xml:space="preserve">BEST 125 </t>
  </si>
  <si>
    <t>ECO 100</t>
  </si>
  <si>
    <t>AKT SL / NKD</t>
  </si>
  <si>
    <t xml:space="preserve">TENSOR DE CADENILLA BAJAJ </t>
  </si>
  <si>
    <t>TORNILLO PORTA SPROCKET</t>
  </si>
  <si>
    <t>GN 125 - RX - GS</t>
  </si>
  <si>
    <t>BOXER CT 100 4H</t>
  </si>
  <si>
    <t xml:space="preserve">TORNILLO PORTA SPROKET </t>
  </si>
  <si>
    <t>PULSAR 200 NS / 200 FI / RS200</t>
  </si>
  <si>
    <t>ECO DELUXE / ECO 100 /CD 100</t>
  </si>
  <si>
    <t>AKT 125 NKD / CRYPTON 110</t>
  </si>
  <si>
    <t>CRYPTON 115 FI / YCZ 110 4H</t>
  </si>
  <si>
    <t>FZ 16 / SZR 160 6H</t>
  </si>
  <si>
    <t>XTZ 150 6H</t>
  </si>
  <si>
    <t>VALVULA ADM/ESCAPE WSHANTI</t>
  </si>
  <si>
    <t>GN125H / GS125</t>
  </si>
  <si>
    <t>VALVULA BAJAJ</t>
  </si>
  <si>
    <t xml:space="preserve">VALVULA HERO </t>
  </si>
  <si>
    <t>ECO DELUXE / AKT 110 /ESPLENDOR</t>
  </si>
  <si>
    <t>VALVULA VITRIX</t>
  </si>
  <si>
    <t xml:space="preserve">VALVULAS </t>
  </si>
  <si>
    <t>CRYPTON 110-115</t>
  </si>
  <si>
    <t>TOTAL</t>
  </si>
  <si>
    <t>RETENNEDIR DE BARRA ORIGINAL BAJAJ</t>
  </si>
  <si>
    <t>PULSAR 180</t>
  </si>
  <si>
    <t xml:space="preserve">CARBURADOR DUVOX </t>
  </si>
  <si>
    <t>BOXER CT 100 / PLATINO 100</t>
  </si>
  <si>
    <t xml:space="preserve">DISCO DE CLUTCH (4 DISCOS) </t>
  </si>
  <si>
    <t>XTZ 125 (MODELO 2019-2021) DOBLE CABLE</t>
  </si>
  <si>
    <t>XTZ 125 (MODELO 2013-2016) DOBLE CABLE</t>
  </si>
  <si>
    <t xml:space="preserve">CRYPTON 115 FI </t>
  </si>
  <si>
    <t>RX / AX VIVA</t>
  </si>
  <si>
    <t>LIBERO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</si>
</sst>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\ * #,##0.000_-;\-&quot;$&quot;\ * #,##0.0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164" fontId="4" fillId="3" borderId="4" xfId="1" applyNumberFormat="1" applyFont="1" applyFill="1" applyBorder="1" applyAlignment="1">
      <alignment horizontal="left" vertical="center" wrapText="1"/>
    </xf>
    <xf numFmtId="164" fontId="4" fillId="4" borderId="4" xfId="1" applyNumberFormat="1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 wrapText="1"/>
    </xf>
    <xf numFmtId="0" fontId="0" fillId="5" borderId="5" xfId="0" applyFont="1" applyFill="1" applyBorder="1" applyAlignment="1">
      <alignment horizontal="center" vertical="center"/>
    </xf>
    <xf numFmtId="164" fontId="1" fillId="0" borderId="5" xfId="1" applyNumberFormat="1" applyFont="1" applyBorder="1" applyAlignment="1">
      <alignment horizontal="left" vertical="center"/>
    </xf>
    <xf numFmtId="164" fontId="1" fillId="4" borderId="5" xfId="1" applyNumberFormat="1" applyFont="1" applyFill="1" applyBorder="1" applyAlignment="1">
      <alignment horizontal="left" vertical="center"/>
    </xf>
    <xf numFmtId="164" fontId="1" fillId="0" borderId="5" xfId="1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5" xfId="0" applyFont="1" applyBorder="1" applyAlignment="1">
      <alignment horizontal="center" vertical="center"/>
    </xf>
    <xf numFmtId="164" fontId="1" fillId="6" borderId="5" xfId="1" applyNumberFormat="1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left" vertical="center"/>
    </xf>
    <xf numFmtId="164" fontId="1" fillId="0" borderId="5" xfId="1" applyNumberFormat="1" applyFont="1" applyBorder="1" applyAlignment="1">
      <alignment horizontal="left"/>
    </xf>
    <xf numFmtId="164" fontId="0" fillId="0" borderId="0" xfId="0" applyNumberFormat="1" applyFont="1" applyFill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164" fontId="5" fillId="0" borderId="5" xfId="1" applyNumberFormat="1" applyFont="1" applyFill="1" applyBorder="1" applyAlignment="1">
      <alignment horizontal="left" vertical="center"/>
    </xf>
    <xf numFmtId="0" fontId="0" fillId="0" borderId="5" xfId="0" applyFont="1" applyBorder="1" applyAlignment="1">
      <alignment horizontal="left" wrapText="1"/>
    </xf>
    <xf numFmtId="164" fontId="0" fillId="0" borderId="5" xfId="1" applyNumberFormat="1" applyFont="1" applyBorder="1" applyAlignment="1">
      <alignment horizontal="left"/>
    </xf>
    <xf numFmtId="164" fontId="0" fillId="0" borderId="5" xfId="1" applyNumberFormat="1" applyFont="1" applyFill="1" applyBorder="1" applyAlignment="1">
      <alignment horizontal="left"/>
    </xf>
    <xf numFmtId="164" fontId="5" fillId="4" borderId="5" xfId="1" applyNumberFormat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 wrapText="1"/>
    </xf>
    <xf numFmtId="164" fontId="5" fillId="0" borderId="6" xfId="1" applyNumberFormat="1" applyFont="1" applyFill="1" applyBorder="1" applyAlignment="1">
      <alignment horizontal="left" vertical="center"/>
    </xf>
    <xf numFmtId="44" fontId="0" fillId="0" borderId="0" xfId="1" applyFont="1" applyFill="1" applyAlignment="1">
      <alignment horizontal="left"/>
    </xf>
    <xf numFmtId="164" fontId="1" fillId="0" borderId="5" xfId="1" applyNumberFormat="1" applyFont="1" applyBorder="1" applyAlignment="1">
      <alignment horizontal="left" vertical="center" wrapText="1"/>
    </xf>
    <xf numFmtId="164" fontId="1" fillId="4" borderId="5" xfId="1" applyNumberFormat="1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/>
    </xf>
    <xf numFmtId="164" fontId="7" fillId="0" borderId="5" xfId="1" applyNumberFormat="1" applyFont="1" applyFill="1" applyBorder="1" applyAlignment="1">
      <alignment horizontal="left" vertical="center" wrapText="1"/>
    </xf>
    <xf numFmtId="164" fontId="1" fillId="6" borderId="5" xfId="1" applyNumberFormat="1" applyFont="1" applyFill="1" applyBorder="1" applyAlignment="1">
      <alignment horizontal="left"/>
    </xf>
    <xf numFmtId="0" fontId="0" fillId="0" borderId="5" xfId="0" applyFont="1" applyFill="1" applyBorder="1" applyAlignment="1">
      <alignment horizontal="left" vertical="center"/>
    </xf>
    <xf numFmtId="164" fontId="1" fillId="0" borderId="5" xfId="1" applyNumberFormat="1" applyFont="1" applyFill="1" applyBorder="1" applyAlignment="1">
      <alignment horizontal="left"/>
    </xf>
    <xf numFmtId="0" fontId="0" fillId="6" borderId="0" xfId="0" applyFont="1" applyFill="1" applyAlignment="1">
      <alignment horizontal="left"/>
    </xf>
    <xf numFmtId="0" fontId="0" fillId="0" borderId="5" xfId="0" applyFont="1" applyFill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center" vertical="center"/>
    </xf>
    <xf numFmtId="164" fontId="1" fillId="0" borderId="6" xfId="1" applyNumberFormat="1" applyFont="1" applyBorder="1" applyAlignment="1">
      <alignment horizontal="left" vertical="center"/>
    </xf>
    <xf numFmtId="164" fontId="1" fillId="6" borderId="6" xfId="1" applyNumberFormat="1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/>
    </xf>
    <xf numFmtId="164" fontId="1" fillId="0" borderId="6" xfId="1" applyNumberFormat="1" applyFont="1" applyFill="1" applyBorder="1" applyAlignment="1">
      <alignment horizontal="left"/>
    </xf>
    <xf numFmtId="0" fontId="0" fillId="0" borderId="6" xfId="0" applyFont="1" applyFill="1" applyBorder="1" applyAlignment="1">
      <alignment horizontal="center" vertical="center"/>
    </xf>
    <xf numFmtId="164" fontId="1" fillId="0" borderId="6" xfId="1" applyNumberFormat="1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164" fontId="1" fillId="4" borderId="6" xfId="1" applyNumberFormat="1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top"/>
    </xf>
    <xf numFmtId="0" fontId="0" fillId="0" borderId="6" xfId="0" applyFont="1" applyFill="1" applyBorder="1" applyAlignment="1">
      <alignment horizontal="left" vertical="top" wrapText="1"/>
    </xf>
    <xf numFmtId="164" fontId="1" fillId="0" borderId="6" xfId="1" applyNumberFormat="1" applyFont="1" applyFill="1" applyBorder="1" applyAlignment="1">
      <alignment horizontal="left" vertical="top"/>
    </xf>
    <xf numFmtId="164" fontId="5" fillId="0" borderId="6" xfId="1" applyNumberFormat="1" applyFont="1" applyFill="1" applyBorder="1" applyAlignment="1">
      <alignment horizontal="left" vertical="top"/>
    </xf>
    <xf numFmtId="0" fontId="0" fillId="0" borderId="6" xfId="0" applyFont="1" applyFill="1" applyBorder="1" applyAlignment="1">
      <alignment horizontal="left" wrapText="1"/>
    </xf>
    <xf numFmtId="0" fontId="5" fillId="0" borderId="0" xfId="0" applyFont="1" applyAlignment="1">
      <alignment horizontal="left" vertical="center"/>
    </xf>
    <xf numFmtId="0" fontId="0" fillId="0" borderId="6" xfId="0" applyFont="1" applyFill="1" applyBorder="1" applyAlignment="1">
      <alignment horizontal="left" vertical="center" wrapText="1"/>
    </xf>
    <xf numFmtId="164" fontId="1" fillId="0" borderId="6" xfId="1" applyNumberFormat="1" applyFont="1" applyFill="1" applyBorder="1" applyAlignment="1">
      <alignment horizontal="left" vertical="center" wrapText="1"/>
    </xf>
    <xf numFmtId="164" fontId="1" fillId="0" borderId="5" xfId="1" applyNumberFormat="1" applyFont="1" applyFill="1" applyBorder="1" applyAlignment="1">
      <alignment horizontal="left" vertical="center" wrapText="1"/>
    </xf>
    <xf numFmtId="164" fontId="0" fillId="0" borderId="0" xfId="0" applyNumberFormat="1" applyFont="1" applyAlignment="1">
      <alignment horizontal="left"/>
    </xf>
    <xf numFmtId="164" fontId="5" fillId="0" borderId="0" xfId="0" applyNumberFormat="1" applyFont="1" applyFill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top"/>
    </xf>
    <xf numFmtId="0" fontId="0" fillId="5" borderId="6" xfId="0" applyFont="1" applyFill="1" applyBorder="1" applyAlignment="1">
      <alignment horizontal="center" vertical="center"/>
    </xf>
    <xf numFmtId="164" fontId="0" fillId="0" borderId="0" xfId="1" applyNumberFormat="1" applyFont="1" applyFill="1" applyAlignment="1">
      <alignment horizontal="left"/>
    </xf>
    <xf numFmtId="0" fontId="0" fillId="0" borderId="7" xfId="0" applyFont="1" applyBorder="1" applyAlignment="1">
      <alignment horizontal="left" wrapText="1"/>
    </xf>
    <xf numFmtId="0" fontId="0" fillId="5" borderId="5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horizontal="left" vertical="center" wrapText="1"/>
    </xf>
    <xf numFmtId="164" fontId="1" fillId="5" borderId="5" xfId="1" applyNumberFormat="1" applyFont="1" applyFill="1" applyBorder="1" applyAlignment="1">
      <alignment horizontal="left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wrapText="1"/>
    </xf>
    <xf numFmtId="164" fontId="1" fillId="0" borderId="6" xfId="1" applyNumberFormat="1" applyFont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left" vertical="center" wrapText="1"/>
    </xf>
    <xf numFmtId="0" fontId="0" fillId="7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center"/>
    </xf>
    <xf numFmtId="164" fontId="0" fillId="0" borderId="6" xfId="1" applyNumberFormat="1" applyFont="1" applyBorder="1" applyAlignment="1">
      <alignment horizontal="left"/>
    </xf>
    <xf numFmtId="164" fontId="1" fillId="0" borderId="6" xfId="1" applyNumberFormat="1" applyFont="1" applyBorder="1" applyAlignment="1">
      <alignment horizontal="left"/>
    </xf>
    <xf numFmtId="165" fontId="1" fillId="0" borderId="0" xfId="2" applyNumberFormat="1" applyFont="1" applyFill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 wrapText="1"/>
    </xf>
    <xf numFmtId="164" fontId="1" fillId="2" borderId="6" xfId="1" applyNumberFormat="1" applyFont="1" applyFill="1" applyBorder="1" applyAlignment="1">
      <alignment horizontal="left" vertical="center"/>
    </xf>
    <xf numFmtId="164" fontId="1" fillId="2" borderId="6" xfId="1" applyNumberFormat="1" applyFont="1" applyFill="1" applyBorder="1" applyAlignment="1">
      <alignment horizontal="left"/>
    </xf>
    <xf numFmtId="0" fontId="0" fillId="2" borderId="6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/>
    </xf>
    <xf numFmtId="0" fontId="5" fillId="9" borderId="8" xfId="0" applyFont="1" applyFill="1" applyBorder="1" applyAlignment="1">
      <alignment horizontal="left" vertical="center" wrapText="1"/>
    </xf>
    <xf numFmtId="0" fontId="0" fillId="9" borderId="6" xfId="0" applyFont="1" applyFill="1" applyBorder="1" applyAlignment="1">
      <alignment horizontal="center" vertical="center"/>
    </xf>
    <xf numFmtId="164" fontId="1" fillId="9" borderId="6" xfId="1" applyNumberFormat="1" applyFont="1" applyFill="1" applyBorder="1" applyAlignment="1">
      <alignment horizontal="left" vertical="center"/>
    </xf>
    <xf numFmtId="164" fontId="1" fillId="9" borderId="6" xfId="1" applyNumberFormat="1" applyFont="1" applyFill="1" applyBorder="1" applyAlignment="1">
      <alignment horizontal="left"/>
    </xf>
    <xf numFmtId="164" fontId="1" fillId="9" borderId="5" xfId="1" applyNumberFormat="1" applyFont="1" applyFill="1" applyBorder="1" applyAlignment="1">
      <alignment horizontal="left" vertical="center"/>
    </xf>
    <xf numFmtId="0" fontId="5" fillId="9" borderId="6" xfId="0" applyFont="1" applyFill="1" applyBorder="1" applyAlignment="1">
      <alignment horizontal="left" vertical="center" wrapText="1"/>
    </xf>
    <xf numFmtId="0" fontId="0" fillId="9" borderId="6" xfId="0" applyFont="1" applyFill="1" applyBorder="1" applyAlignment="1">
      <alignment horizontal="left" vertical="center" wrapText="1"/>
    </xf>
    <xf numFmtId="0" fontId="0" fillId="9" borderId="8" xfId="0" applyFont="1" applyFill="1" applyBorder="1" applyAlignment="1">
      <alignment horizontal="left" vertical="center" wrapText="1"/>
    </xf>
    <xf numFmtId="164" fontId="1" fillId="9" borderId="5" xfId="1" applyNumberFormat="1" applyFont="1" applyFill="1" applyBorder="1" applyAlignment="1">
      <alignment horizontal="left"/>
    </xf>
    <xf numFmtId="0" fontId="0" fillId="9" borderId="6" xfId="0" applyFont="1" applyFill="1" applyBorder="1" applyAlignment="1">
      <alignment horizontal="left" vertical="center"/>
    </xf>
    <xf numFmtId="164" fontId="5" fillId="0" borderId="6" xfId="1" applyNumberFormat="1" applyFont="1" applyBorder="1" applyAlignment="1">
      <alignment horizontal="left" vertical="center"/>
    </xf>
    <xf numFmtId="0" fontId="0" fillId="0" borderId="6" xfId="0" applyFont="1" applyBorder="1" applyAlignment="1">
      <alignment horizontal="left" wrapText="1"/>
    </xf>
    <xf numFmtId="164" fontId="0" fillId="0" borderId="0" xfId="1" applyNumberFormat="1" applyFont="1" applyAlignment="1">
      <alignment horizontal="left"/>
    </xf>
    <xf numFmtId="0" fontId="0" fillId="0" borderId="9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left" vertical="center"/>
    </xf>
    <xf numFmtId="164" fontId="1" fillId="4" borderId="9" xfId="1" applyNumberFormat="1" applyFont="1" applyFill="1" applyBorder="1" applyAlignment="1">
      <alignment horizontal="left" vertical="center"/>
    </xf>
    <xf numFmtId="164" fontId="1" fillId="0" borderId="9" xfId="1" applyNumberFormat="1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left"/>
    </xf>
    <xf numFmtId="164" fontId="1" fillId="4" borderId="12" xfId="1" applyNumberFormat="1" applyFont="1" applyFill="1" applyBorder="1" applyAlignment="1">
      <alignment horizontal="left" vertical="center"/>
    </xf>
    <xf numFmtId="164" fontId="1" fillId="0" borderId="13" xfId="1" applyNumberFormat="1" applyFont="1" applyBorder="1" applyAlignment="1">
      <alignment horizontal="left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164" fontId="1" fillId="0" borderId="0" xfId="1" applyNumberFormat="1" applyFont="1" applyBorder="1" applyAlignment="1">
      <alignment horizontal="left" vertical="center"/>
    </xf>
    <xf numFmtId="164" fontId="1" fillId="4" borderId="0" xfId="1" applyNumberFormat="1" applyFont="1" applyFill="1" applyBorder="1" applyAlignment="1">
      <alignment horizontal="left" vertical="center"/>
    </xf>
    <xf numFmtId="164" fontId="1" fillId="6" borderId="0" xfId="1" applyNumberFormat="1" applyFont="1" applyFill="1" applyBorder="1" applyAlignment="1">
      <alignment horizontal="left" vertical="center"/>
    </xf>
    <xf numFmtId="164" fontId="1" fillId="0" borderId="0" xfId="1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64" fontId="1" fillId="0" borderId="0" xfId="1" applyNumberFormat="1" applyFont="1" applyFill="1" applyBorder="1" applyAlignment="1">
      <alignment horizontal="left"/>
    </xf>
    <xf numFmtId="164" fontId="1" fillId="4" borderId="0" xfId="1" applyNumberFormat="1" applyFont="1" applyFill="1" applyBorder="1" applyAlignment="1">
      <alignment horizontal="left"/>
    </xf>
    <xf numFmtId="164" fontId="1" fillId="0" borderId="0" xfId="1" applyNumberFormat="1" applyFont="1" applyAlignment="1">
      <alignment horizontal="left"/>
    </xf>
    <xf numFmtId="0" fontId="0" fillId="0" borderId="0" xfId="0" applyFont="1" applyAlignment="1">
      <alignment horizontal="center"/>
    </xf>
    <xf numFmtId="164" fontId="0" fillId="4" borderId="0" xfId="1" applyNumberFormat="1" applyFont="1" applyFill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wrapText="1"/>
    </xf>
    <xf numFmtId="0" fontId="0" fillId="0" borderId="0" xfId="0" applyFont="1" applyBorder="1" applyAlignment="1">
      <alignment horizontal="center"/>
    </xf>
    <xf numFmtId="164" fontId="0" fillId="0" borderId="0" xfId="1" applyNumberFormat="1" applyFont="1" applyBorder="1" applyAlignment="1">
      <alignment horizontal="left"/>
    </xf>
    <xf numFmtId="164" fontId="0" fillId="4" borderId="0" xfId="1" applyNumberFormat="1" applyFont="1" applyFill="1" applyBorder="1" applyAlignment="1">
      <alignment horizontal="left"/>
    </xf>
    <xf numFmtId="0" fontId="0" fillId="0" borderId="5" xfId="0" applyFont="1" applyBorder="1" applyAlignment="1">
      <alignment horizontal="left"/>
    </xf>
    <xf numFmtId="164" fontId="0" fillId="4" borderId="6" xfId="1" applyNumberFormat="1" applyFont="1" applyFill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8" xfId="0" applyFont="1" applyBorder="1" applyAlignment="1">
      <alignment horizontal="left" wrapText="1"/>
    </xf>
    <xf numFmtId="164" fontId="0" fillId="4" borderId="5" xfId="1" applyNumberFormat="1" applyFont="1" applyFill="1" applyBorder="1" applyAlignment="1">
      <alignment horizontal="left"/>
    </xf>
    <xf numFmtId="164" fontId="0" fillId="0" borderId="6" xfId="1" applyNumberFormat="1" applyFont="1" applyFill="1" applyBorder="1" applyAlignment="1">
      <alignment horizontal="left"/>
    </xf>
    <xf numFmtId="164" fontId="1" fillId="10" borderId="5" xfId="1" applyNumberFormat="1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0" fillId="0" borderId="9" xfId="0" applyFont="1" applyFill="1" applyBorder="1" applyAlignment="1">
      <alignment horizontal="center" vertical="center"/>
    </xf>
    <xf numFmtId="164" fontId="1" fillId="4" borderId="14" xfId="1" applyNumberFormat="1" applyFont="1" applyFill="1" applyBorder="1" applyAlignment="1">
      <alignment horizontal="left" vertical="center"/>
    </xf>
    <xf numFmtId="164" fontId="1" fillId="0" borderId="9" xfId="1" applyNumberFormat="1" applyFont="1" applyFill="1" applyBorder="1" applyAlignment="1">
      <alignment horizontal="left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1"/>
  <sheetViews>
    <sheetView tabSelected="1" topLeftCell="A115" workbookViewId="0">
      <selection activeCell="C135" sqref="C135"/>
    </sheetView>
  </sheetViews>
  <sheetFormatPr baseColWidth="10" defaultRowHeight="15" x14ac:dyDescent="0.25"/>
  <cols>
    <col min="1" max="1" width="61.5703125" style="5" customWidth="1"/>
    <col min="2" max="2" width="34.7109375" style="147" customWidth="1"/>
    <col min="3" max="3" width="11.42578125" style="145"/>
    <col min="4" max="4" width="5.28515625" style="121" customWidth="1"/>
    <col min="5" max="5" width="5.42578125" style="78" customWidth="1"/>
    <col min="6" max="6" width="15.7109375" style="121" customWidth="1"/>
    <col min="7" max="7" width="13" style="5" bestFit="1" customWidth="1"/>
    <col min="8" max="8" width="18.28515625" style="5" bestFit="1" customWidth="1"/>
    <col min="9" max="16384" width="11.42578125" style="5"/>
  </cols>
  <sheetData>
    <row r="1" spans="1:9" ht="19.5" thickBot="1" x14ac:dyDescent="0.3">
      <c r="A1" s="1"/>
      <c r="B1" s="2"/>
      <c r="C1" s="2"/>
      <c r="D1" s="2"/>
      <c r="E1" s="2"/>
      <c r="F1" s="3"/>
      <c r="G1" s="4"/>
    </row>
    <row r="2" spans="1:9" ht="126.75" thickBot="1" x14ac:dyDescent="0.3">
      <c r="A2" s="6" t="s">
        <v>0</v>
      </c>
      <c r="B2" s="7" t="s">
        <v>1</v>
      </c>
      <c r="C2" s="8" t="s">
        <v>2</v>
      </c>
      <c r="D2" s="9" t="s">
        <v>3</v>
      </c>
      <c r="E2" s="10" t="s">
        <v>4</v>
      </c>
      <c r="F2" s="9" t="s">
        <v>5</v>
      </c>
      <c r="G2" s="4"/>
    </row>
    <row r="3" spans="1:9" s="4" customFormat="1" x14ac:dyDescent="0.25">
      <c r="A3" s="11" t="s">
        <v>6</v>
      </c>
      <c r="B3" s="12" t="s">
        <v>7</v>
      </c>
      <c r="C3" s="13" t="s">
        <v>8</v>
      </c>
      <c r="D3" s="14">
        <v>34700</v>
      </c>
      <c r="E3" s="15">
        <v>34700</v>
      </c>
      <c r="F3" s="16">
        <v>38000</v>
      </c>
      <c r="I3" s="17"/>
    </row>
    <row r="4" spans="1:9" s="4" customFormat="1" x14ac:dyDescent="0.25">
      <c r="A4" s="11" t="s">
        <v>9</v>
      </c>
      <c r="B4" s="12" t="s">
        <v>10</v>
      </c>
      <c r="C4" s="13" t="s">
        <v>8</v>
      </c>
      <c r="D4" s="14">
        <v>28072</v>
      </c>
      <c r="E4" s="15">
        <v>28072</v>
      </c>
      <c r="F4" s="14">
        <v>33000</v>
      </c>
      <c r="I4" s="17"/>
    </row>
    <row r="5" spans="1:9" s="4" customFormat="1" x14ac:dyDescent="0.25">
      <c r="A5" s="11" t="s">
        <v>11</v>
      </c>
      <c r="B5" s="12" t="s">
        <v>12</v>
      </c>
      <c r="C5" s="18">
        <v>2</v>
      </c>
      <c r="D5" s="14">
        <v>37856</v>
      </c>
      <c r="E5" s="15"/>
      <c r="F5" s="19"/>
      <c r="I5" s="17"/>
    </row>
    <row r="6" spans="1:9" s="4" customFormat="1" x14ac:dyDescent="0.25">
      <c r="A6" s="11" t="s">
        <v>13</v>
      </c>
      <c r="B6" s="12" t="s">
        <v>14</v>
      </c>
      <c r="C6" s="18">
        <v>2</v>
      </c>
      <c r="D6" s="14">
        <v>56000</v>
      </c>
      <c r="E6" s="15"/>
      <c r="F6" s="19"/>
      <c r="I6" s="17"/>
    </row>
    <row r="7" spans="1:9" s="4" customFormat="1" x14ac:dyDescent="0.25">
      <c r="A7" s="11" t="s">
        <v>13</v>
      </c>
      <c r="B7" s="12" t="s">
        <v>15</v>
      </c>
      <c r="C7" s="18">
        <v>2</v>
      </c>
      <c r="D7" s="14">
        <v>57677</v>
      </c>
      <c r="E7" s="15"/>
      <c r="F7" s="19"/>
      <c r="I7" s="17"/>
    </row>
    <row r="8" spans="1:9" s="4" customFormat="1" x14ac:dyDescent="0.25">
      <c r="A8" s="11" t="s">
        <v>16</v>
      </c>
      <c r="B8" s="12" t="s">
        <v>17</v>
      </c>
      <c r="C8" s="18">
        <v>1</v>
      </c>
      <c r="D8" s="14">
        <v>101400</v>
      </c>
      <c r="E8" s="15"/>
      <c r="F8" s="19"/>
      <c r="I8" s="17"/>
    </row>
    <row r="9" spans="1:9" s="4" customFormat="1" x14ac:dyDescent="0.25">
      <c r="A9" s="11" t="s">
        <v>16</v>
      </c>
      <c r="B9" s="12" t="s">
        <v>18</v>
      </c>
      <c r="C9" s="18">
        <v>1</v>
      </c>
      <c r="D9" s="14">
        <v>89658</v>
      </c>
      <c r="E9" s="15"/>
      <c r="F9" s="19"/>
      <c r="I9" s="17"/>
    </row>
    <row r="10" spans="1:9" s="4" customFormat="1" x14ac:dyDescent="0.25">
      <c r="A10" s="11" t="s">
        <v>19</v>
      </c>
      <c r="B10" s="12" t="s">
        <v>20</v>
      </c>
      <c r="C10" s="18">
        <v>4</v>
      </c>
      <c r="D10" s="14">
        <v>34694</v>
      </c>
      <c r="E10" s="15"/>
      <c r="F10" s="19"/>
      <c r="I10" s="17"/>
    </row>
    <row r="11" spans="1:9" s="4" customFormat="1" x14ac:dyDescent="0.25">
      <c r="A11" s="11" t="s">
        <v>19</v>
      </c>
      <c r="B11" s="12" t="s">
        <v>21</v>
      </c>
      <c r="C11" s="18">
        <v>5</v>
      </c>
      <c r="D11" s="14">
        <v>38864</v>
      </c>
      <c r="E11" s="15"/>
      <c r="F11" s="19"/>
      <c r="I11" s="17"/>
    </row>
    <row r="12" spans="1:9" s="4" customFormat="1" x14ac:dyDescent="0.25">
      <c r="A12" s="11" t="s">
        <v>19</v>
      </c>
      <c r="B12" s="12" t="s">
        <v>22</v>
      </c>
      <c r="C12" s="18">
        <v>2</v>
      </c>
      <c r="D12" s="14">
        <v>31842</v>
      </c>
      <c r="E12" s="15"/>
      <c r="F12" s="19"/>
      <c r="I12" s="17"/>
    </row>
    <row r="13" spans="1:9" s="4" customFormat="1" x14ac:dyDescent="0.25">
      <c r="A13" s="11" t="s">
        <v>23</v>
      </c>
      <c r="B13" s="12" t="s">
        <v>10</v>
      </c>
      <c r="C13" s="13" t="s">
        <v>8</v>
      </c>
      <c r="D13" s="14">
        <v>25000</v>
      </c>
      <c r="E13" s="15">
        <v>25000</v>
      </c>
      <c r="F13" s="14">
        <v>27000</v>
      </c>
      <c r="I13" s="17"/>
    </row>
    <row r="14" spans="1:9" s="4" customFormat="1" x14ac:dyDescent="0.25">
      <c r="A14" s="11" t="s">
        <v>24</v>
      </c>
      <c r="B14" s="12" t="s">
        <v>25</v>
      </c>
      <c r="C14" s="13" t="s">
        <v>8</v>
      </c>
      <c r="D14" s="14">
        <v>22500</v>
      </c>
      <c r="E14" s="15">
        <v>22500</v>
      </c>
      <c r="F14" s="14">
        <v>24500</v>
      </c>
      <c r="I14" s="17"/>
    </row>
    <row r="15" spans="1:9" s="4" customFormat="1" x14ac:dyDescent="0.25">
      <c r="A15" s="11" t="s">
        <v>26</v>
      </c>
      <c r="B15" s="12" t="s">
        <v>27</v>
      </c>
      <c r="C15" s="18">
        <v>2</v>
      </c>
      <c r="D15" s="14">
        <v>30200</v>
      </c>
      <c r="E15" s="15">
        <v>30200</v>
      </c>
      <c r="F15" s="14">
        <v>35000</v>
      </c>
      <c r="I15" s="17"/>
    </row>
    <row r="16" spans="1:9" s="4" customFormat="1" x14ac:dyDescent="0.25">
      <c r="A16" s="11" t="s">
        <v>28</v>
      </c>
      <c r="B16" s="12" t="s">
        <v>29</v>
      </c>
      <c r="C16" s="13" t="s">
        <v>8</v>
      </c>
      <c r="D16" s="14">
        <v>19412</v>
      </c>
      <c r="E16" s="15">
        <v>19412</v>
      </c>
      <c r="F16" s="14">
        <v>24000</v>
      </c>
      <c r="I16" s="17"/>
    </row>
    <row r="17" spans="1:9" s="4" customFormat="1" x14ac:dyDescent="0.25">
      <c r="A17" s="11" t="s">
        <v>30</v>
      </c>
      <c r="B17" s="12" t="s">
        <v>31</v>
      </c>
      <c r="C17" s="18">
        <v>3</v>
      </c>
      <c r="D17" s="14">
        <v>19402</v>
      </c>
      <c r="E17" s="15">
        <v>19402</v>
      </c>
      <c r="F17" s="14">
        <v>24000</v>
      </c>
      <c r="I17" s="17"/>
    </row>
    <row r="18" spans="1:9" s="4" customFormat="1" x14ac:dyDescent="0.25">
      <c r="A18" s="11" t="s">
        <v>32</v>
      </c>
      <c r="B18" s="12" t="s">
        <v>33</v>
      </c>
      <c r="C18" s="13" t="s">
        <v>8</v>
      </c>
      <c r="D18" s="14">
        <v>7354</v>
      </c>
      <c r="E18" s="15">
        <v>7354</v>
      </c>
      <c r="F18" s="16">
        <v>12000</v>
      </c>
      <c r="I18" s="17"/>
    </row>
    <row r="19" spans="1:9" s="4" customFormat="1" x14ac:dyDescent="0.25">
      <c r="A19" s="11" t="s">
        <v>34</v>
      </c>
      <c r="B19" s="12" t="s">
        <v>35</v>
      </c>
      <c r="C19" s="13" t="s">
        <v>8</v>
      </c>
      <c r="D19" s="14">
        <v>20900</v>
      </c>
      <c r="E19" s="15">
        <v>19666</v>
      </c>
      <c r="F19" s="14">
        <v>23000</v>
      </c>
      <c r="I19" s="17"/>
    </row>
    <row r="20" spans="1:9" s="4" customFormat="1" x14ac:dyDescent="0.25">
      <c r="A20" s="11" t="s">
        <v>34</v>
      </c>
      <c r="B20" s="12" t="s">
        <v>36</v>
      </c>
      <c r="C20" s="18">
        <v>2</v>
      </c>
      <c r="D20" s="14">
        <v>21500</v>
      </c>
      <c r="E20" s="15">
        <v>19666</v>
      </c>
      <c r="F20" s="14">
        <v>23500</v>
      </c>
      <c r="I20" s="17"/>
    </row>
    <row r="21" spans="1:9" s="4" customFormat="1" x14ac:dyDescent="0.25">
      <c r="A21" s="11" t="s">
        <v>37</v>
      </c>
      <c r="B21" s="12" t="s">
        <v>38</v>
      </c>
      <c r="C21" s="18">
        <v>3</v>
      </c>
      <c r="D21" s="14">
        <v>11000</v>
      </c>
      <c r="E21" s="15">
        <v>11000</v>
      </c>
      <c r="F21" s="14">
        <v>18500</v>
      </c>
      <c r="I21" s="17"/>
    </row>
    <row r="22" spans="1:9" s="4" customFormat="1" x14ac:dyDescent="0.25">
      <c r="A22" s="11" t="s">
        <v>39</v>
      </c>
      <c r="B22" s="12" t="s">
        <v>40</v>
      </c>
      <c r="C22" s="18">
        <v>4</v>
      </c>
      <c r="D22" s="14">
        <v>24900</v>
      </c>
      <c r="E22" s="15">
        <v>24900</v>
      </c>
      <c r="F22" s="14">
        <v>27000</v>
      </c>
      <c r="I22" s="17"/>
    </row>
    <row r="23" spans="1:9" s="4" customFormat="1" x14ac:dyDescent="0.25">
      <c r="A23" s="11" t="s">
        <v>41</v>
      </c>
      <c r="B23" s="12" t="s">
        <v>42</v>
      </c>
      <c r="C23" s="13" t="s">
        <v>8</v>
      </c>
      <c r="D23" s="14">
        <v>23750</v>
      </c>
      <c r="E23" s="15">
        <v>23750</v>
      </c>
      <c r="F23" s="14">
        <v>26000</v>
      </c>
      <c r="I23" s="17"/>
    </row>
    <row r="24" spans="1:9" s="4" customFormat="1" x14ac:dyDescent="0.25">
      <c r="A24" s="11" t="s">
        <v>43</v>
      </c>
      <c r="B24" s="12" t="s">
        <v>35</v>
      </c>
      <c r="C24" s="13" t="s">
        <v>8</v>
      </c>
      <c r="D24" s="14">
        <v>31200</v>
      </c>
      <c r="E24" s="15">
        <v>31200</v>
      </c>
      <c r="F24" s="14">
        <v>35000</v>
      </c>
      <c r="I24" s="17"/>
    </row>
    <row r="25" spans="1:9" s="4" customFormat="1" x14ac:dyDescent="0.25">
      <c r="A25" s="11" t="s">
        <v>44</v>
      </c>
      <c r="B25" s="12" t="s">
        <v>45</v>
      </c>
      <c r="C25" s="13" t="s">
        <v>8</v>
      </c>
      <c r="D25" s="14">
        <v>46000</v>
      </c>
      <c r="E25" s="15">
        <v>46000</v>
      </c>
      <c r="F25" s="14">
        <v>49000</v>
      </c>
      <c r="I25" s="17"/>
    </row>
    <row r="26" spans="1:9" s="4" customFormat="1" x14ac:dyDescent="0.25">
      <c r="A26" s="11" t="s">
        <v>46</v>
      </c>
      <c r="B26" s="12" t="s">
        <v>47</v>
      </c>
      <c r="C26" s="13" t="s">
        <v>48</v>
      </c>
      <c r="D26" s="14">
        <v>0</v>
      </c>
      <c r="E26" s="15">
        <v>0</v>
      </c>
      <c r="F26" s="14">
        <v>15000</v>
      </c>
      <c r="I26" s="17"/>
    </row>
    <row r="27" spans="1:9" s="4" customFormat="1" x14ac:dyDescent="0.25">
      <c r="A27" s="11" t="s">
        <v>46</v>
      </c>
      <c r="B27" s="12" t="s">
        <v>49</v>
      </c>
      <c r="C27" s="18">
        <v>3</v>
      </c>
      <c r="D27" s="14">
        <v>4900</v>
      </c>
      <c r="E27" s="15">
        <v>4900</v>
      </c>
      <c r="F27" s="14">
        <v>9000</v>
      </c>
      <c r="I27" s="17"/>
    </row>
    <row r="28" spans="1:9" s="4" customFormat="1" x14ac:dyDescent="0.25">
      <c r="A28" s="11" t="s">
        <v>50</v>
      </c>
      <c r="B28" s="12" t="s">
        <v>35</v>
      </c>
      <c r="C28" s="13" t="s">
        <v>8</v>
      </c>
      <c r="D28" s="14">
        <v>22500</v>
      </c>
      <c r="E28" s="15">
        <v>22500</v>
      </c>
      <c r="F28" s="14">
        <v>25000</v>
      </c>
      <c r="I28" s="17"/>
    </row>
    <row r="29" spans="1:9" s="4" customFormat="1" x14ac:dyDescent="0.25">
      <c r="A29" s="11" t="s">
        <v>51</v>
      </c>
      <c r="B29" s="12" t="s">
        <v>52</v>
      </c>
      <c r="C29" s="18">
        <v>4</v>
      </c>
      <c r="D29" s="14">
        <v>8500</v>
      </c>
      <c r="E29" s="15">
        <v>8500</v>
      </c>
      <c r="F29" s="14">
        <v>11000</v>
      </c>
      <c r="I29" s="17"/>
    </row>
    <row r="30" spans="1:9" s="4" customFormat="1" x14ac:dyDescent="0.25">
      <c r="A30" s="11" t="s">
        <v>53</v>
      </c>
      <c r="B30" s="12" t="s">
        <v>31</v>
      </c>
      <c r="C30" s="18">
        <v>1</v>
      </c>
      <c r="D30" s="14">
        <v>20500</v>
      </c>
      <c r="E30" s="15">
        <v>20500</v>
      </c>
      <c r="F30" s="14">
        <v>24000</v>
      </c>
      <c r="I30" s="17"/>
    </row>
    <row r="31" spans="1:9" s="4" customFormat="1" x14ac:dyDescent="0.25">
      <c r="A31" s="11" t="s">
        <v>54</v>
      </c>
      <c r="B31" s="12" t="s">
        <v>55</v>
      </c>
      <c r="C31" s="18">
        <v>1</v>
      </c>
      <c r="D31" s="14">
        <v>29167</v>
      </c>
      <c r="E31" s="15">
        <v>29167</v>
      </c>
      <c r="F31" s="14">
        <v>35000</v>
      </c>
      <c r="I31" s="17"/>
    </row>
    <row r="32" spans="1:9" s="4" customFormat="1" x14ac:dyDescent="0.25">
      <c r="A32" s="11" t="s">
        <v>56</v>
      </c>
      <c r="B32" s="12" t="s">
        <v>57</v>
      </c>
      <c r="C32" s="18">
        <v>2</v>
      </c>
      <c r="D32" s="14">
        <v>86341</v>
      </c>
      <c r="E32" s="15">
        <f>D32+(D32*19%)</f>
        <v>102745.79000000001</v>
      </c>
      <c r="F32" s="19">
        <v>140000</v>
      </c>
      <c r="I32" s="17"/>
    </row>
    <row r="33" spans="1:9" s="4" customFormat="1" x14ac:dyDescent="0.25">
      <c r="A33" s="11" t="s">
        <v>58</v>
      </c>
      <c r="B33" s="12" t="s">
        <v>57</v>
      </c>
      <c r="C33" s="18">
        <v>1</v>
      </c>
      <c r="D33" s="14">
        <v>87375</v>
      </c>
      <c r="E33" s="15">
        <f>D33+(D33*19%)</f>
        <v>103976.25</v>
      </c>
      <c r="F33" s="19">
        <v>145000</v>
      </c>
      <c r="I33" s="17"/>
    </row>
    <row r="34" spans="1:9" s="4" customFormat="1" x14ac:dyDescent="0.25">
      <c r="A34" s="11" t="s">
        <v>59</v>
      </c>
      <c r="B34" s="12" t="s">
        <v>60</v>
      </c>
      <c r="C34" s="18">
        <v>2</v>
      </c>
      <c r="D34" s="14">
        <v>69463</v>
      </c>
      <c r="E34" s="15">
        <f>D34+(D34*19%)</f>
        <v>82660.97</v>
      </c>
      <c r="F34" s="19">
        <v>130000</v>
      </c>
      <c r="I34" s="17"/>
    </row>
    <row r="35" spans="1:9" s="4" customFormat="1" x14ac:dyDescent="0.25">
      <c r="A35" s="11" t="s">
        <v>59</v>
      </c>
      <c r="B35" s="12" t="s">
        <v>61</v>
      </c>
      <c r="C35" s="18">
        <v>1</v>
      </c>
      <c r="D35" s="14">
        <v>76619</v>
      </c>
      <c r="E35" s="15">
        <f>D35+(D35*19%)</f>
        <v>91176.61</v>
      </c>
      <c r="F35" s="19">
        <v>140000</v>
      </c>
      <c r="I35" s="17"/>
    </row>
    <row r="36" spans="1:9" s="4" customFormat="1" x14ac:dyDescent="0.25">
      <c r="A36" s="11" t="s">
        <v>62</v>
      </c>
      <c r="B36" s="12" t="s">
        <v>33</v>
      </c>
      <c r="C36" s="18">
        <v>5</v>
      </c>
      <c r="D36" s="14">
        <v>13200</v>
      </c>
      <c r="E36" s="15">
        <v>13200</v>
      </c>
      <c r="F36" s="14">
        <v>17000</v>
      </c>
      <c r="I36" s="17"/>
    </row>
    <row r="37" spans="1:9" s="4" customFormat="1" x14ac:dyDescent="0.25">
      <c r="A37" s="11" t="s">
        <v>63</v>
      </c>
      <c r="B37" s="12">
        <v>6001</v>
      </c>
      <c r="C37" s="18">
        <v>25</v>
      </c>
      <c r="D37" s="14">
        <v>1443</v>
      </c>
      <c r="E37" s="15">
        <f t="shared" ref="E37:E47" si="0">D37+(D37*19%)</f>
        <v>1717.17</v>
      </c>
      <c r="F37" s="14">
        <v>5000</v>
      </c>
      <c r="I37" s="17"/>
    </row>
    <row r="38" spans="1:9" s="4" customFormat="1" x14ac:dyDescent="0.25">
      <c r="A38" s="11" t="s">
        <v>63</v>
      </c>
      <c r="B38" s="21">
        <v>6004</v>
      </c>
      <c r="C38" s="22">
        <v>16</v>
      </c>
      <c r="D38" s="23">
        <v>2450</v>
      </c>
      <c r="E38" s="15">
        <f t="shared" si="0"/>
        <v>2915.5</v>
      </c>
      <c r="F38" s="24">
        <v>6000</v>
      </c>
      <c r="I38" s="17"/>
    </row>
    <row r="39" spans="1:9" s="4" customFormat="1" x14ac:dyDescent="0.25">
      <c r="A39" s="11" t="s">
        <v>63</v>
      </c>
      <c r="B39" s="21">
        <v>6200</v>
      </c>
      <c r="C39" s="22">
        <v>36</v>
      </c>
      <c r="D39" s="23">
        <v>1700</v>
      </c>
      <c r="E39" s="15">
        <f t="shared" si="0"/>
        <v>2023</v>
      </c>
      <c r="F39" s="24">
        <v>5000</v>
      </c>
      <c r="G39" s="25">
        <f>(E41+E46)</f>
        <v>5431.16</v>
      </c>
      <c r="I39" s="17"/>
    </row>
    <row r="40" spans="1:9" s="4" customFormat="1" x14ac:dyDescent="0.25">
      <c r="A40" s="11" t="s">
        <v>63</v>
      </c>
      <c r="B40" s="21">
        <v>6201</v>
      </c>
      <c r="C40" s="22">
        <v>8</v>
      </c>
      <c r="D40" s="23">
        <v>1916</v>
      </c>
      <c r="E40" s="15">
        <f t="shared" si="0"/>
        <v>2280.04</v>
      </c>
      <c r="F40" s="24">
        <v>5000</v>
      </c>
      <c r="I40" s="17"/>
    </row>
    <row r="41" spans="1:9" s="4" customFormat="1" x14ac:dyDescent="0.25">
      <c r="A41" s="26" t="s">
        <v>63</v>
      </c>
      <c r="B41" s="21">
        <v>6202</v>
      </c>
      <c r="C41" s="22">
        <v>18</v>
      </c>
      <c r="D41" s="23">
        <v>1970</v>
      </c>
      <c r="E41" s="15">
        <f t="shared" si="0"/>
        <v>2344.3000000000002</v>
      </c>
      <c r="F41" s="23">
        <v>5000</v>
      </c>
      <c r="G41" s="25">
        <f>(E41*2)</f>
        <v>4688.6000000000004</v>
      </c>
      <c r="I41" s="17"/>
    </row>
    <row r="42" spans="1:9" s="4" customFormat="1" x14ac:dyDescent="0.25">
      <c r="A42" s="11" t="s">
        <v>63</v>
      </c>
      <c r="B42" s="21">
        <v>6203</v>
      </c>
      <c r="C42" s="27">
        <v>11</v>
      </c>
      <c r="D42" s="23">
        <v>2341</v>
      </c>
      <c r="E42" s="15">
        <f t="shared" si="0"/>
        <v>2785.79</v>
      </c>
      <c r="F42" s="24">
        <v>5000</v>
      </c>
      <c r="I42" s="17"/>
    </row>
    <row r="43" spans="1:9" s="4" customFormat="1" x14ac:dyDescent="0.25">
      <c r="A43" s="11" t="s">
        <v>63</v>
      </c>
      <c r="B43" s="21">
        <v>6204</v>
      </c>
      <c r="C43" s="22">
        <v>14</v>
      </c>
      <c r="D43" s="23">
        <v>2735</v>
      </c>
      <c r="E43" s="15">
        <f t="shared" si="0"/>
        <v>3254.65</v>
      </c>
      <c r="F43" s="24">
        <v>7000</v>
      </c>
      <c r="G43" s="25">
        <f>(E44*2)</f>
        <v>4998</v>
      </c>
      <c r="I43" s="17"/>
    </row>
    <row r="44" spans="1:9" s="4" customFormat="1" x14ac:dyDescent="0.25">
      <c r="A44" s="11" t="s">
        <v>63</v>
      </c>
      <c r="B44" s="21">
        <v>6300</v>
      </c>
      <c r="C44" s="22">
        <v>11</v>
      </c>
      <c r="D44" s="23">
        <v>2100</v>
      </c>
      <c r="E44" s="15">
        <f t="shared" si="0"/>
        <v>2499</v>
      </c>
      <c r="F44" s="24">
        <v>5000</v>
      </c>
      <c r="I44" s="17"/>
    </row>
    <row r="45" spans="1:9" s="4" customFormat="1" x14ac:dyDescent="0.25">
      <c r="A45" s="28" t="s">
        <v>63</v>
      </c>
      <c r="B45" s="29">
        <v>6301</v>
      </c>
      <c r="C45" s="27">
        <v>20</v>
      </c>
      <c r="D45" s="30">
        <v>2194</v>
      </c>
      <c r="E45" s="15">
        <f t="shared" si="0"/>
        <v>2610.86</v>
      </c>
      <c r="F45" s="30">
        <v>5000</v>
      </c>
      <c r="I45" s="17"/>
    </row>
    <row r="46" spans="1:9" s="4" customFormat="1" x14ac:dyDescent="0.25">
      <c r="A46" s="28" t="s">
        <v>63</v>
      </c>
      <c r="B46" s="29">
        <v>6302</v>
      </c>
      <c r="C46" s="27">
        <v>24</v>
      </c>
      <c r="D46" s="30">
        <v>2594</v>
      </c>
      <c r="E46" s="15">
        <f t="shared" si="0"/>
        <v>3086.86</v>
      </c>
      <c r="F46" s="30">
        <v>5000</v>
      </c>
      <c r="G46" s="4">
        <f>(E46*2)</f>
        <v>6173.72</v>
      </c>
      <c r="I46" s="17"/>
    </row>
    <row r="47" spans="1:9" s="4" customFormat="1" x14ac:dyDescent="0.25">
      <c r="A47" s="28" t="s">
        <v>63</v>
      </c>
      <c r="B47" s="29">
        <v>6303</v>
      </c>
      <c r="C47" s="27">
        <v>13</v>
      </c>
      <c r="D47" s="30">
        <v>4897</v>
      </c>
      <c r="E47" s="15">
        <f t="shared" si="0"/>
        <v>5827.43</v>
      </c>
      <c r="F47" s="30">
        <v>9000</v>
      </c>
      <c r="I47" s="17"/>
    </row>
    <row r="48" spans="1:9" s="4" customFormat="1" x14ac:dyDescent="0.25">
      <c r="A48" s="28" t="s">
        <v>64</v>
      </c>
      <c r="B48" s="31">
        <v>6301</v>
      </c>
      <c r="C48" s="13" t="s">
        <v>8</v>
      </c>
      <c r="D48" s="32">
        <v>2100</v>
      </c>
      <c r="E48" s="33">
        <v>2100</v>
      </c>
      <c r="F48" s="32">
        <v>5000</v>
      </c>
      <c r="I48" s="17"/>
    </row>
    <row r="49" spans="1:9" s="4" customFormat="1" x14ac:dyDescent="0.25">
      <c r="A49" s="11" t="s">
        <v>65</v>
      </c>
      <c r="B49" s="12">
        <v>6301</v>
      </c>
      <c r="C49" s="13" t="s">
        <v>8</v>
      </c>
      <c r="D49" s="14">
        <v>5000</v>
      </c>
      <c r="E49" s="15">
        <v>5000</v>
      </c>
      <c r="F49" s="16">
        <v>9000</v>
      </c>
      <c r="I49" s="17"/>
    </row>
    <row r="50" spans="1:9" s="4" customFormat="1" x14ac:dyDescent="0.25">
      <c r="A50" s="11" t="s">
        <v>66</v>
      </c>
      <c r="B50" s="12" t="s">
        <v>67</v>
      </c>
      <c r="C50" s="20">
        <v>6</v>
      </c>
      <c r="D50" s="16">
        <v>5800</v>
      </c>
      <c r="E50" s="16">
        <v>5800</v>
      </c>
      <c r="F50" s="16">
        <v>13000</v>
      </c>
      <c r="I50" s="17"/>
    </row>
    <row r="51" spans="1:9" s="4" customFormat="1" x14ac:dyDescent="0.25">
      <c r="A51" s="11" t="s">
        <v>66</v>
      </c>
      <c r="B51" s="12" t="s">
        <v>68</v>
      </c>
      <c r="C51" s="20">
        <v>3</v>
      </c>
      <c r="D51" s="16">
        <v>7400</v>
      </c>
      <c r="E51" s="16">
        <v>7400</v>
      </c>
      <c r="F51" s="16">
        <v>15000</v>
      </c>
      <c r="I51" s="17"/>
    </row>
    <row r="52" spans="1:9" s="4" customFormat="1" x14ac:dyDescent="0.25">
      <c r="A52" s="28" t="s">
        <v>69</v>
      </c>
      <c r="B52" s="29" t="s">
        <v>70</v>
      </c>
      <c r="C52" s="27">
        <v>2</v>
      </c>
      <c r="D52" s="30">
        <v>6800</v>
      </c>
      <c r="E52" s="34">
        <v>6800</v>
      </c>
      <c r="F52" s="30">
        <v>13000</v>
      </c>
      <c r="I52" s="17"/>
    </row>
    <row r="53" spans="1:9" s="4" customFormat="1" x14ac:dyDescent="0.25">
      <c r="A53" s="28" t="s">
        <v>71</v>
      </c>
      <c r="B53" s="29" t="s">
        <v>72</v>
      </c>
      <c r="C53" s="35" t="s">
        <v>73</v>
      </c>
      <c r="D53" s="30"/>
      <c r="E53" s="15">
        <f>D53+(D53*19%)</f>
        <v>0</v>
      </c>
      <c r="F53" s="30">
        <v>13500</v>
      </c>
      <c r="I53" s="17"/>
    </row>
    <row r="54" spans="1:9" s="4" customFormat="1" ht="45" x14ac:dyDescent="0.25">
      <c r="A54" s="28" t="s">
        <v>71</v>
      </c>
      <c r="B54" s="29" t="s">
        <v>74</v>
      </c>
      <c r="C54" s="35" t="s">
        <v>73</v>
      </c>
      <c r="D54" s="30"/>
      <c r="E54" s="15">
        <f>D54+(D54*19%)</f>
        <v>0</v>
      </c>
      <c r="F54" s="30">
        <v>14000</v>
      </c>
      <c r="I54" s="17"/>
    </row>
    <row r="55" spans="1:9" s="4" customFormat="1" ht="45" x14ac:dyDescent="0.25">
      <c r="A55" s="28" t="s">
        <v>71</v>
      </c>
      <c r="B55" s="29" t="s">
        <v>75</v>
      </c>
      <c r="C55" s="35" t="s">
        <v>73</v>
      </c>
      <c r="D55" s="30">
        <v>7500</v>
      </c>
      <c r="E55" s="34">
        <v>7500</v>
      </c>
      <c r="F55" s="30">
        <v>12000</v>
      </c>
      <c r="I55" s="17"/>
    </row>
    <row r="56" spans="1:9" s="4" customFormat="1" x14ac:dyDescent="0.25">
      <c r="A56" s="28" t="s">
        <v>76</v>
      </c>
      <c r="B56" s="29" t="s">
        <v>77</v>
      </c>
      <c r="C56" s="35" t="s">
        <v>73</v>
      </c>
      <c r="D56" s="30">
        <v>4000</v>
      </c>
      <c r="E56" s="34">
        <v>4000</v>
      </c>
      <c r="F56" s="30">
        <v>10000</v>
      </c>
      <c r="I56" s="17"/>
    </row>
    <row r="57" spans="1:9" s="4" customFormat="1" ht="30" x14ac:dyDescent="0.25">
      <c r="A57" s="28" t="s">
        <v>78</v>
      </c>
      <c r="B57" s="29" t="s">
        <v>79</v>
      </c>
      <c r="C57" s="27">
        <v>1</v>
      </c>
      <c r="D57" s="30">
        <v>14000</v>
      </c>
      <c r="E57" s="34">
        <v>14000</v>
      </c>
      <c r="F57" s="30">
        <v>19000</v>
      </c>
      <c r="I57" s="17"/>
    </row>
    <row r="58" spans="1:9" s="4" customFormat="1" ht="30" x14ac:dyDescent="0.25">
      <c r="A58" s="28" t="s">
        <v>80</v>
      </c>
      <c r="B58" s="29" t="s">
        <v>81</v>
      </c>
      <c r="C58" s="27">
        <v>2</v>
      </c>
      <c r="D58" s="30">
        <v>16000</v>
      </c>
      <c r="E58" s="15">
        <v>16000</v>
      </c>
      <c r="F58" s="30">
        <v>19000</v>
      </c>
      <c r="I58" s="17"/>
    </row>
    <row r="59" spans="1:9" s="4" customFormat="1" ht="45" x14ac:dyDescent="0.25">
      <c r="A59" s="28" t="s">
        <v>82</v>
      </c>
      <c r="B59" s="29" t="s">
        <v>83</v>
      </c>
      <c r="C59" s="27">
        <v>4</v>
      </c>
      <c r="D59" s="30">
        <v>16000</v>
      </c>
      <c r="E59" s="34">
        <v>16000</v>
      </c>
      <c r="F59" s="30">
        <v>24000</v>
      </c>
      <c r="I59" s="17"/>
    </row>
    <row r="60" spans="1:9" s="4" customFormat="1" ht="45" x14ac:dyDescent="0.25">
      <c r="A60" s="28" t="s">
        <v>82</v>
      </c>
      <c r="B60" s="29" t="s">
        <v>84</v>
      </c>
      <c r="C60" s="35" t="s">
        <v>8</v>
      </c>
      <c r="D60" s="30">
        <v>0</v>
      </c>
      <c r="E60" s="15">
        <f>D60+(D60*19%)</f>
        <v>0</v>
      </c>
      <c r="F60" s="30">
        <v>13000</v>
      </c>
      <c r="I60" s="17"/>
    </row>
    <row r="61" spans="1:9" s="4" customFormat="1" ht="60" x14ac:dyDescent="0.25">
      <c r="A61" s="28" t="s">
        <v>82</v>
      </c>
      <c r="B61" s="29" t="s">
        <v>85</v>
      </c>
      <c r="C61" s="27">
        <v>1</v>
      </c>
      <c r="D61" s="30">
        <v>9500</v>
      </c>
      <c r="E61" s="34">
        <v>9500</v>
      </c>
      <c r="F61" s="30">
        <v>17000</v>
      </c>
      <c r="I61" s="17"/>
    </row>
    <row r="62" spans="1:9" s="4" customFormat="1" ht="75" x14ac:dyDescent="0.25">
      <c r="A62" s="28" t="s">
        <v>82</v>
      </c>
      <c r="B62" s="29" t="s">
        <v>86</v>
      </c>
      <c r="C62" s="27">
        <v>1</v>
      </c>
      <c r="D62" s="30">
        <v>0</v>
      </c>
      <c r="E62" s="15">
        <f>D62+(D62*19%)</f>
        <v>0</v>
      </c>
      <c r="F62" s="30">
        <v>13000</v>
      </c>
      <c r="I62" s="17"/>
    </row>
    <row r="63" spans="1:9" s="4" customFormat="1" ht="90" x14ac:dyDescent="0.25">
      <c r="A63" s="28" t="s">
        <v>82</v>
      </c>
      <c r="B63" s="29" t="s">
        <v>87</v>
      </c>
      <c r="C63" s="35" t="s">
        <v>8</v>
      </c>
      <c r="D63" s="30">
        <v>16000</v>
      </c>
      <c r="E63" s="34">
        <v>16000</v>
      </c>
      <c r="F63" s="30">
        <v>18000</v>
      </c>
      <c r="I63" s="17"/>
    </row>
    <row r="64" spans="1:9" s="4" customFormat="1" x14ac:dyDescent="0.25">
      <c r="A64" s="28" t="s">
        <v>88</v>
      </c>
      <c r="B64" s="29" t="s">
        <v>89</v>
      </c>
      <c r="C64" s="27">
        <v>4</v>
      </c>
      <c r="D64" s="30">
        <v>19000</v>
      </c>
      <c r="E64" s="34">
        <v>19000</v>
      </c>
      <c r="F64" s="30">
        <v>25000</v>
      </c>
      <c r="I64" s="17"/>
    </row>
    <row r="65" spans="1:9" s="4" customFormat="1" x14ac:dyDescent="0.25">
      <c r="A65" s="28" t="s">
        <v>90</v>
      </c>
      <c r="B65" s="29" t="s">
        <v>91</v>
      </c>
      <c r="C65" s="35" t="s">
        <v>8</v>
      </c>
      <c r="D65" s="30">
        <v>4000</v>
      </c>
      <c r="E65" s="34">
        <v>4000</v>
      </c>
      <c r="F65" s="30">
        <v>9000</v>
      </c>
      <c r="I65" s="17"/>
    </row>
    <row r="66" spans="1:9" s="4" customFormat="1" ht="30" x14ac:dyDescent="0.25">
      <c r="A66" s="28" t="s">
        <v>92</v>
      </c>
      <c r="B66" s="29" t="s">
        <v>93</v>
      </c>
      <c r="C66" s="27">
        <v>9</v>
      </c>
      <c r="D66" s="30">
        <v>8200</v>
      </c>
      <c r="E66" s="34">
        <v>8200</v>
      </c>
      <c r="F66" s="30">
        <v>13500</v>
      </c>
      <c r="I66" s="17"/>
    </row>
    <row r="67" spans="1:9" s="4" customFormat="1" ht="75" x14ac:dyDescent="0.25">
      <c r="A67" s="11" t="s">
        <v>94</v>
      </c>
      <c r="B67" s="12" t="s">
        <v>95</v>
      </c>
      <c r="C67" s="18">
        <v>5</v>
      </c>
      <c r="D67" s="14">
        <v>8000</v>
      </c>
      <c r="E67" s="15">
        <v>8000</v>
      </c>
      <c r="F67" s="16">
        <v>13000</v>
      </c>
      <c r="I67" s="17"/>
    </row>
    <row r="68" spans="1:9" s="4" customFormat="1" ht="30" x14ac:dyDescent="0.25">
      <c r="A68" s="28" t="s">
        <v>96</v>
      </c>
      <c r="B68" s="29" t="s">
        <v>97</v>
      </c>
      <c r="C68" s="35" t="s">
        <v>8</v>
      </c>
      <c r="D68" s="30">
        <v>9600</v>
      </c>
      <c r="E68" s="34">
        <v>9600</v>
      </c>
      <c r="F68" s="30">
        <v>16000</v>
      </c>
      <c r="I68" s="17"/>
    </row>
    <row r="69" spans="1:9" s="4" customFormat="1" x14ac:dyDescent="0.25">
      <c r="A69" s="11" t="s">
        <v>98</v>
      </c>
      <c r="B69" s="12" t="s">
        <v>67</v>
      </c>
      <c r="C69" s="18">
        <v>1</v>
      </c>
      <c r="D69" s="14">
        <v>148926</v>
      </c>
      <c r="E69" s="15">
        <f>D69+(D69*19%)</f>
        <v>177221.94</v>
      </c>
      <c r="F69" s="19">
        <v>240000</v>
      </c>
      <c r="I69" s="17"/>
    </row>
    <row r="70" spans="1:9" s="4" customFormat="1" x14ac:dyDescent="0.25">
      <c r="A70" s="11" t="s">
        <v>98</v>
      </c>
      <c r="B70" s="12" t="s">
        <v>99</v>
      </c>
      <c r="C70" s="18">
        <v>1</v>
      </c>
      <c r="D70" s="14">
        <v>129236</v>
      </c>
      <c r="E70" s="15">
        <f>D70+(D70*19%)</f>
        <v>153790.84</v>
      </c>
      <c r="F70" s="19">
        <v>220000</v>
      </c>
      <c r="I70" s="17"/>
    </row>
    <row r="71" spans="1:9" s="4" customFormat="1" x14ac:dyDescent="0.25">
      <c r="A71" s="36" t="s">
        <v>100</v>
      </c>
      <c r="B71" s="29" t="s">
        <v>101</v>
      </c>
      <c r="C71" s="35" t="s">
        <v>48</v>
      </c>
      <c r="D71" s="30">
        <v>51900</v>
      </c>
      <c r="E71" s="34">
        <v>51900</v>
      </c>
      <c r="F71" s="30">
        <v>72000</v>
      </c>
      <c r="I71" s="17"/>
    </row>
    <row r="72" spans="1:9" s="4" customFormat="1" x14ac:dyDescent="0.25">
      <c r="A72" s="36" t="s">
        <v>100</v>
      </c>
      <c r="B72" s="29" t="s">
        <v>102</v>
      </c>
      <c r="C72" s="27">
        <v>1</v>
      </c>
      <c r="D72" s="30">
        <v>50900</v>
      </c>
      <c r="E72" s="34">
        <v>50900</v>
      </c>
      <c r="F72" s="30">
        <v>85000</v>
      </c>
      <c r="I72" s="17"/>
    </row>
    <row r="73" spans="1:9" s="4" customFormat="1" ht="45" x14ac:dyDescent="0.25">
      <c r="A73" s="28" t="s">
        <v>100</v>
      </c>
      <c r="B73" s="37" t="s">
        <v>103</v>
      </c>
      <c r="C73" s="35" t="s">
        <v>48</v>
      </c>
      <c r="D73" s="30">
        <v>42500</v>
      </c>
      <c r="E73" s="34">
        <v>42500</v>
      </c>
      <c r="F73" s="30">
        <v>60000</v>
      </c>
      <c r="I73" s="17"/>
    </row>
    <row r="74" spans="1:9" s="4" customFormat="1" ht="30" x14ac:dyDescent="0.25">
      <c r="A74" s="28" t="s">
        <v>100</v>
      </c>
      <c r="B74" s="37" t="s">
        <v>104</v>
      </c>
      <c r="C74" s="35" t="s">
        <v>8</v>
      </c>
      <c r="D74" s="30">
        <v>43900</v>
      </c>
      <c r="E74" s="34">
        <v>43900</v>
      </c>
      <c r="F74" s="30">
        <v>70000</v>
      </c>
      <c r="I74" s="17"/>
    </row>
    <row r="75" spans="1:9" s="4" customFormat="1" x14ac:dyDescent="0.25">
      <c r="A75" s="28" t="s">
        <v>100</v>
      </c>
      <c r="B75" s="37" t="s">
        <v>105</v>
      </c>
      <c r="C75" s="27">
        <v>1</v>
      </c>
      <c r="D75" s="30">
        <v>50900</v>
      </c>
      <c r="E75" s="34">
        <v>50900</v>
      </c>
      <c r="F75" s="30">
        <v>72000</v>
      </c>
      <c r="I75" s="17"/>
    </row>
    <row r="76" spans="1:9" s="4" customFormat="1" ht="30" x14ac:dyDescent="0.25">
      <c r="A76" s="28" t="s">
        <v>100</v>
      </c>
      <c r="B76" s="37" t="s">
        <v>106</v>
      </c>
      <c r="C76" s="35" t="s">
        <v>48</v>
      </c>
      <c r="D76" s="30">
        <v>51900</v>
      </c>
      <c r="E76" s="34">
        <v>51900</v>
      </c>
      <c r="F76" s="30">
        <v>86000</v>
      </c>
      <c r="G76" s="25"/>
      <c r="I76" s="17"/>
    </row>
    <row r="77" spans="1:9" s="4" customFormat="1" ht="30" x14ac:dyDescent="0.25">
      <c r="A77" s="28" t="s">
        <v>100</v>
      </c>
      <c r="B77" s="37" t="s">
        <v>107</v>
      </c>
      <c r="C77" s="27">
        <v>5</v>
      </c>
      <c r="D77" s="30">
        <v>35000</v>
      </c>
      <c r="E77" s="34">
        <v>35000</v>
      </c>
      <c r="F77" s="30">
        <v>52000</v>
      </c>
      <c r="I77" s="17"/>
    </row>
    <row r="78" spans="1:9" s="4" customFormat="1" ht="30" x14ac:dyDescent="0.25">
      <c r="A78" s="28" t="s">
        <v>100</v>
      </c>
      <c r="B78" s="37" t="s">
        <v>108</v>
      </c>
      <c r="C78" s="35" t="s">
        <v>48</v>
      </c>
      <c r="D78" s="30">
        <v>40500</v>
      </c>
      <c r="E78" s="34">
        <v>40500</v>
      </c>
      <c r="F78" s="30">
        <v>69000</v>
      </c>
      <c r="I78" s="17"/>
    </row>
    <row r="79" spans="1:9" s="4" customFormat="1" x14ac:dyDescent="0.25">
      <c r="A79" s="28" t="s">
        <v>100</v>
      </c>
      <c r="B79" s="37" t="s">
        <v>109</v>
      </c>
      <c r="C79" s="27">
        <v>1</v>
      </c>
      <c r="D79" s="30">
        <v>42500</v>
      </c>
      <c r="E79" s="34">
        <v>42500</v>
      </c>
      <c r="F79" s="30">
        <v>62000</v>
      </c>
      <c r="I79" s="17"/>
    </row>
    <row r="80" spans="1:9" s="4" customFormat="1" x14ac:dyDescent="0.25">
      <c r="A80" s="28" t="s">
        <v>100</v>
      </c>
      <c r="B80" s="37" t="s">
        <v>110</v>
      </c>
      <c r="C80" s="35" t="s">
        <v>48</v>
      </c>
      <c r="D80" s="30">
        <v>54000</v>
      </c>
      <c r="E80" s="34">
        <v>54000</v>
      </c>
      <c r="F80" s="30">
        <v>72000</v>
      </c>
      <c r="I80" s="17"/>
    </row>
    <row r="81" spans="1:9" s="4" customFormat="1" x14ac:dyDescent="0.25">
      <c r="A81" s="28" t="s">
        <v>100</v>
      </c>
      <c r="B81" s="37" t="s">
        <v>111</v>
      </c>
      <c r="C81" s="35" t="s">
        <v>48</v>
      </c>
      <c r="D81" s="30">
        <v>26900</v>
      </c>
      <c r="E81" s="34">
        <v>26900</v>
      </c>
      <c r="F81" s="38">
        <v>39000</v>
      </c>
      <c r="G81" s="4">
        <f>(E81*2)</f>
        <v>53800</v>
      </c>
      <c r="I81" s="17"/>
    </row>
    <row r="82" spans="1:9" s="4" customFormat="1" x14ac:dyDescent="0.25">
      <c r="A82" s="26" t="s">
        <v>112</v>
      </c>
      <c r="B82" s="31" t="s">
        <v>113</v>
      </c>
      <c r="C82" s="22">
        <v>4</v>
      </c>
      <c r="D82" s="30">
        <v>9900</v>
      </c>
      <c r="E82" s="34">
        <v>9900</v>
      </c>
      <c r="F82" s="30">
        <v>22000</v>
      </c>
      <c r="I82" s="17"/>
    </row>
    <row r="83" spans="1:9" s="4" customFormat="1" x14ac:dyDescent="0.25">
      <c r="A83" s="26" t="s">
        <v>114</v>
      </c>
      <c r="B83" s="21" t="s">
        <v>115</v>
      </c>
      <c r="C83" s="22">
        <v>3</v>
      </c>
      <c r="D83" s="23">
        <v>23370</v>
      </c>
      <c r="E83" s="15">
        <f>D83+(D83*19%)</f>
        <v>27810.3</v>
      </c>
      <c r="F83" s="23">
        <v>45000</v>
      </c>
      <c r="I83" s="17"/>
    </row>
    <row r="84" spans="1:9" s="4" customFormat="1" x14ac:dyDescent="0.25">
      <c r="A84" s="26" t="s">
        <v>114</v>
      </c>
      <c r="B84" s="21" t="s">
        <v>116</v>
      </c>
      <c r="C84" s="35" t="s">
        <v>48</v>
      </c>
      <c r="D84" s="23">
        <v>21450</v>
      </c>
      <c r="E84" s="15">
        <f>D84+(D84*19%)</f>
        <v>25525.5</v>
      </c>
      <c r="F84" s="23">
        <v>38000</v>
      </c>
      <c r="I84" s="17"/>
    </row>
    <row r="85" spans="1:9" s="4" customFormat="1" x14ac:dyDescent="0.25">
      <c r="A85" s="26" t="s">
        <v>114</v>
      </c>
      <c r="B85" s="21" t="s">
        <v>117</v>
      </c>
      <c r="C85" s="22">
        <v>2</v>
      </c>
      <c r="D85" s="23">
        <v>24350</v>
      </c>
      <c r="E85" s="15">
        <f>D85+(D85*19%)</f>
        <v>28976.5</v>
      </c>
      <c r="F85" s="23">
        <v>45000</v>
      </c>
      <c r="I85" s="17"/>
    </row>
    <row r="86" spans="1:9" s="4" customFormat="1" x14ac:dyDescent="0.25">
      <c r="A86" s="26" t="s">
        <v>114</v>
      </c>
      <c r="B86" s="21" t="s">
        <v>118</v>
      </c>
      <c r="C86" s="22">
        <v>6</v>
      </c>
      <c r="D86" s="23">
        <v>11800</v>
      </c>
      <c r="E86" s="15">
        <f>D86+(D86*19%)</f>
        <v>14042</v>
      </c>
      <c r="F86" s="23">
        <v>28000</v>
      </c>
      <c r="G86" s="25"/>
      <c r="I86" s="17"/>
    </row>
    <row r="87" spans="1:9" s="4" customFormat="1" x14ac:dyDescent="0.25">
      <c r="A87" s="11" t="s">
        <v>119</v>
      </c>
      <c r="B87" s="12" t="s">
        <v>120</v>
      </c>
      <c r="C87" s="13" t="s">
        <v>8</v>
      </c>
      <c r="D87" s="14">
        <v>23107</v>
      </c>
      <c r="E87" s="15">
        <f>D87+(D87*19%)</f>
        <v>27497.33</v>
      </c>
      <c r="F87" s="14">
        <v>38000</v>
      </c>
      <c r="G87" s="25"/>
      <c r="I87" s="17"/>
    </row>
    <row r="88" spans="1:9" s="4" customFormat="1" x14ac:dyDescent="0.25">
      <c r="A88" s="11" t="s">
        <v>121</v>
      </c>
      <c r="B88" s="12" t="s">
        <v>122</v>
      </c>
      <c r="C88" s="18">
        <v>4</v>
      </c>
      <c r="D88" s="14">
        <v>14500</v>
      </c>
      <c r="E88" s="15">
        <v>14500</v>
      </c>
      <c r="F88" s="14">
        <v>28000</v>
      </c>
      <c r="I88" s="17"/>
    </row>
    <row r="89" spans="1:9" s="4" customFormat="1" x14ac:dyDescent="0.25">
      <c r="A89" s="11" t="s">
        <v>123</v>
      </c>
      <c r="B89" s="12" t="s">
        <v>124</v>
      </c>
      <c r="C89" s="20">
        <v>3</v>
      </c>
      <c r="D89" s="14">
        <v>14500</v>
      </c>
      <c r="E89" s="15">
        <v>14500</v>
      </c>
      <c r="F89" s="14">
        <v>28000</v>
      </c>
      <c r="I89" s="17"/>
    </row>
    <row r="90" spans="1:9" s="4" customFormat="1" x14ac:dyDescent="0.25">
      <c r="A90" s="11" t="s">
        <v>125</v>
      </c>
      <c r="B90" s="12" t="s">
        <v>126</v>
      </c>
      <c r="C90" s="20">
        <v>1</v>
      </c>
      <c r="D90" s="16">
        <v>18900</v>
      </c>
      <c r="E90" s="16">
        <v>18900</v>
      </c>
      <c r="F90" s="16">
        <v>36000</v>
      </c>
      <c r="I90" s="17"/>
    </row>
    <row r="91" spans="1:9" s="4" customFormat="1" x14ac:dyDescent="0.25">
      <c r="A91" s="11" t="s">
        <v>125</v>
      </c>
      <c r="B91" s="12" t="s">
        <v>127</v>
      </c>
      <c r="C91" s="20">
        <v>1</v>
      </c>
      <c r="D91" s="16">
        <v>15500</v>
      </c>
      <c r="E91" s="16">
        <v>15500</v>
      </c>
      <c r="F91" s="16">
        <v>32000</v>
      </c>
      <c r="I91" s="17"/>
    </row>
    <row r="92" spans="1:9" s="4" customFormat="1" x14ac:dyDescent="0.25">
      <c r="A92" s="11" t="s">
        <v>128</v>
      </c>
      <c r="B92" s="12" t="s">
        <v>33</v>
      </c>
      <c r="C92" s="13" t="s">
        <v>8</v>
      </c>
      <c r="D92" s="14">
        <v>1200</v>
      </c>
      <c r="E92" s="15">
        <v>1200</v>
      </c>
      <c r="F92" s="16">
        <v>5000</v>
      </c>
      <c r="I92" s="17"/>
    </row>
    <row r="93" spans="1:9" s="4" customFormat="1" x14ac:dyDescent="0.25">
      <c r="A93" s="11" t="s">
        <v>129</v>
      </c>
      <c r="B93" s="12" t="s">
        <v>33</v>
      </c>
      <c r="C93" s="18">
        <v>7</v>
      </c>
      <c r="D93" s="14">
        <v>2000</v>
      </c>
      <c r="E93" s="15">
        <v>2000</v>
      </c>
      <c r="F93" s="16">
        <v>5000</v>
      </c>
      <c r="G93" s="25">
        <f>(E93+3500)</f>
        <v>5500</v>
      </c>
      <c r="I93" s="17"/>
    </row>
    <row r="94" spans="1:9" s="4" customFormat="1" x14ac:dyDescent="0.25">
      <c r="A94" s="11" t="s">
        <v>130</v>
      </c>
      <c r="B94" s="12" t="s">
        <v>33</v>
      </c>
      <c r="C94" s="18">
        <v>7</v>
      </c>
      <c r="D94" s="14">
        <v>2000</v>
      </c>
      <c r="E94" s="15">
        <v>2000</v>
      </c>
      <c r="F94" s="16">
        <v>5000</v>
      </c>
      <c r="G94" s="25">
        <f>(E94+1500)</f>
        <v>3500</v>
      </c>
      <c r="I94" s="17"/>
    </row>
    <row r="95" spans="1:9" s="4" customFormat="1" x14ac:dyDescent="0.25">
      <c r="A95" s="11" t="s">
        <v>131</v>
      </c>
      <c r="B95" s="12" t="s">
        <v>33</v>
      </c>
      <c r="C95" s="18">
        <v>6</v>
      </c>
      <c r="D95" s="14">
        <v>2000</v>
      </c>
      <c r="E95" s="15">
        <v>2000</v>
      </c>
      <c r="F95" s="16">
        <v>5000</v>
      </c>
      <c r="I95" s="17"/>
    </row>
    <row r="96" spans="1:9" s="4" customFormat="1" x14ac:dyDescent="0.25">
      <c r="A96" s="11" t="s">
        <v>132</v>
      </c>
      <c r="B96" s="12" t="s">
        <v>33</v>
      </c>
      <c r="C96" s="18">
        <v>7</v>
      </c>
      <c r="D96" s="14">
        <v>2000</v>
      </c>
      <c r="E96" s="15">
        <v>2000</v>
      </c>
      <c r="F96" s="16">
        <v>5000</v>
      </c>
      <c r="G96" s="39"/>
      <c r="I96" s="17"/>
    </row>
    <row r="97" spans="1:9" s="4" customFormat="1" x14ac:dyDescent="0.25">
      <c r="A97" s="11" t="s">
        <v>133</v>
      </c>
      <c r="B97" s="12" t="s">
        <v>33</v>
      </c>
      <c r="C97" s="18">
        <v>2</v>
      </c>
      <c r="D97" s="14">
        <v>2000</v>
      </c>
      <c r="E97" s="15">
        <v>2000</v>
      </c>
      <c r="F97" s="16">
        <v>5000</v>
      </c>
      <c r="G97" s="25">
        <f>(135000-E97)</f>
        <v>133000</v>
      </c>
      <c r="I97" s="17"/>
    </row>
    <row r="98" spans="1:9" s="4" customFormat="1" x14ac:dyDescent="0.25">
      <c r="A98" s="11" t="s">
        <v>134</v>
      </c>
      <c r="B98" s="12" t="s">
        <v>33</v>
      </c>
      <c r="C98" s="13" t="s">
        <v>8</v>
      </c>
      <c r="D98" s="14">
        <v>2000</v>
      </c>
      <c r="E98" s="15">
        <v>2000</v>
      </c>
      <c r="F98" s="16">
        <v>5000</v>
      </c>
      <c r="I98" s="17"/>
    </row>
    <row r="99" spans="1:9" s="4" customFormat="1" x14ac:dyDescent="0.25">
      <c r="A99" s="11" t="s">
        <v>135</v>
      </c>
      <c r="B99" s="12" t="s">
        <v>33</v>
      </c>
      <c r="C99" s="18">
        <v>4</v>
      </c>
      <c r="D99" s="14">
        <v>2000</v>
      </c>
      <c r="E99" s="15">
        <v>2000</v>
      </c>
      <c r="F99" s="16">
        <v>5000</v>
      </c>
      <c r="G99" s="25"/>
      <c r="I99" s="17"/>
    </row>
    <row r="100" spans="1:9" s="4" customFormat="1" x14ac:dyDescent="0.25">
      <c r="A100" s="11" t="s">
        <v>136</v>
      </c>
      <c r="B100" s="12" t="s">
        <v>33</v>
      </c>
      <c r="C100" s="13" t="s">
        <v>8</v>
      </c>
      <c r="D100" s="14">
        <v>1200</v>
      </c>
      <c r="E100" s="15">
        <v>1200</v>
      </c>
      <c r="F100" s="16">
        <v>5000</v>
      </c>
      <c r="I100" s="17"/>
    </row>
    <row r="101" spans="1:9" s="4" customFormat="1" x14ac:dyDescent="0.25">
      <c r="A101" s="11" t="s">
        <v>137</v>
      </c>
      <c r="B101" s="12" t="s">
        <v>33</v>
      </c>
      <c r="C101" s="18">
        <v>2</v>
      </c>
      <c r="D101" s="14">
        <v>1650</v>
      </c>
      <c r="E101" s="15">
        <v>1650</v>
      </c>
      <c r="F101" s="16">
        <v>5000</v>
      </c>
      <c r="I101" s="17"/>
    </row>
    <row r="102" spans="1:9" s="4" customFormat="1" x14ac:dyDescent="0.25">
      <c r="A102" s="11" t="s">
        <v>138</v>
      </c>
      <c r="B102" s="12" t="s">
        <v>33</v>
      </c>
      <c r="C102" s="18">
        <v>3</v>
      </c>
      <c r="D102" s="14">
        <v>1200</v>
      </c>
      <c r="E102" s="15">
        <v>1200</v>
      </c>
      <c r="F102" s="16">
        <v>5000</v>
      </c>
      <c r="I102" s="17"/>
    </row>
    <row r="103" spans="1:9" s="4" customFormat="1" x14ac:dyDescent="0.25">
      <c r="A103" s="11" t="s">
        <v>139</v>
      </c>
      <c r="B103" s="12" t="s">
        <v>33</v>
      </c>
      <c r="C103" s="13" t="s">
        <v>8</v>
      </c>
      <c r="D103" s="14">
        <v>1650</v>
      </c>
      <c r="E103" s="15">
        <v>1650</v>
      </c>
      <c r="F103" s="16">
        <v>5000</v>
      </c>
      <c r="G103" s="25">
        <f>(E101+E106)</f>
        <v>5050</v>
      </c>
      <c r="I103" s="17"/>
    </row>
    <row r="104" spans="1:9" s="4" customFormat="1" x14ac:dyDescent="0.25">
      <c r="A104" s="11" t="s">
        <v>140</v>
      </c>
      <c r="B104" s="12" t="s">
        <v>33</v>
      </c>
      <c r="C104" s="20">
        <v>5</v>
      </c>
      <c r="D104" s="14">
        <v>7200</v>
      </c>
      <c r="E104" s="15">
        <v>7200</v>
      </c>
      <c r="F104" s="16">
        <v>20000</v>
      </c>
      <c r="G104" s="25"/>
      <c r="I104" s="17"/>
    </row>
    <row r="105" spans="1:9" s="4" customFormat="1" x14ac:dyDescent="0.25">
      <c r="A105" s="11" t="s">
        <v>141</v>
      </c>
      <c r="B105" s="12" t="s">
        <v>33</v>
      </c>
      <c r="C105" s="20">
        <v>10</v>
      </c>
      <c r="D105" s="40">
        <v>9350</v>
      </c>
      <c r="E105" s="41">
        <v>9350</v>
      </c>
      <c r="F105" s="40">
        <v>20000</v>
      </c>
      <c r="G105" s="25"/>
      <c r="I105" s="17"/>
    </row>
    <row r="106" spans="1:9" s="4" customFormat="1" x14ac:dyDescent="0.25">
      <c r="A106" s="11" t="s">
        <v>142</v>
      </c>
      <c r="B106" s="12" t="s">
        <v>143</v>
      </c>
      <c r="C106" s="20">
        <v>10</v>
      </c>
      <c r="D106" s="14">
        <v>3400</v>
      </c>
      <c r="E106" s="15">
        <v>3400</v>
      </c>
      <c r="F106" s="16">
        <v>10000</v>
      </c>
      <c r="I106" s="17"/>
    </row>
    <row r="107" spans="1:9" s="4" customFormat="1" x14ac:dyDescent="0.25">
      <c r="A107" s="11" t="s">
        <v>144</v>
      </c>
      <c r="B107" s="12" t="s">
        <v>33</v>
      </c>
      <c r="C107" s="13" t="s">
        <v>8</v>
      </c>
      <c r="D107" s="14">
        <v>25500</v>
      </c>
      <c r="E107" s="15">
        <v>25500</v>
      </c>
      <c r="F107" s="14">
        <v>40000</v>
      </c>
      <c r="I107" s="17"/>
    </row>
    <row r="108" spans="1:9" s="4" customFormat="1" x14ac:dyDescent="0.25">
      <c r="A108" s="11" t="s">
        <v>145</v>
      </c>
      <c r="B108" s="12" t="s">
        <v>143</v>
      </c>
      <c r="C108" s="18">
        <v>7</v>
      </c>
      <c r="D108" s="14">
        <v>7000</v>
      </c>
      <c r="E108" s="15">
        <v>7000</v>
      </c>
      <c r="F108" s="14">
        <v>20000</v>
      </c>
      <c r="I108" s="17"/>
    </row>
    <row r="109" spans="1:9" s="4" customFormat="1" x14ac:dyDescent="0.25">
      <c r="A109" s="11" t="s">
        <v>146</v>
      </c>
      <c r="B109" s="12" t="s">
        <v>33</v>
      </c>
      <c r="C109" s="20">
        <v>6</v>
      </c>
      <c r="D109" s="14">
        <v>34000</v>
      </c>
      <c r="E109" s="15">
        <v>34000</v>
      </c>
      <c r="F109" s="14">
        <v>65000</v>
      </c>
      <c r="G109" s="25"/>
      <c r="I109" s="17"/>
    </row>
    <row r="110" spans="1:9" s="4" customFormat="1" x14ac:dyDescent="0.25">
      <c r="A110" s="11" t="s">
        <v>147</v>
      </c>
      <c r="B110" s="12" t="s">
        <v>33</v>
      </c>
      <c r="C110" s="20">
        <v>5</v>
      </c>
      <c r="D110" s="14">
        <v>45000</v>
      </c>
      <c r="E110" s="15">
        <v>45000</v>
      </c>
      <c r="F110" s="14">
        <v>80000</v>
      </c>
      <c r="I110" s="17"/>
    </row>
    <row r="111" spans="1:9" s="4" customFormat="1" x14ac:dyDescent="0.25">
      <c r="A111" s="11" t="s">
        <v>148</v>
      </c>
      <c r="B111" s="12" t="s">
        <v>33</v>
      </c>
      <c r="C111" s="13" t="s">
        <v>8</v>
      </c>
      <c r="D111" s="14">
        <v>36000</v>
      </c>
      <c r="E111" s="15">
        <v>36000</v>
      </c>
      <c r="F111" s="14">
        <v>55000</v>
      </c>
      <c r="G111" s="25">
        <f>(E111+E102)</f>
        <v>37200</v>
      </c>
      <c r="I111" s="17"/>
    </row>
    <row r="112" spans="1:9" s="4" customFormat="1" x14ac:dyDescent="0.25">
      <c r="A112" s="11" t="s">
        <v>149</v>
      </c>
      <c r="B112" s="12" t="s">
        <v>33</v>
      </c>
      <c r="C112" s="18">
        <v>3</v>
      </c>
      <c r="D112" s="14">
        <v>30000</v>
      </c>
      <c r="E112" s="15">
        <v>30000</v>
      </c>
      <c r="F112" s="14">
        <v>58000</v>
      </c>
      <c r="I112" s="17"/>
    </row>
    <row r="113" spans="1:9" s="4" customFormat="1" x14ac:dyDescent="0.25">
      <c r="A113" s="26" t="s">
        <v>150</v>
      </c>
      <c r="B113" s="21" t="s">
        <v>33</v>
      </c>
      <c r="C113" s="22">
        <v>19</v>
      </c>
      <c r="D113" s="23">
        <v>600</v>
      </c>
      <c r="E113" s="34">
        <v>600</v>
      </c>
      <c r="F113" s="23">
        <v>2000</v>
      </c>
      <c r="I113" s="17"/>
    </row>
    <row r="114" spans="1:9" s="4" customFormat="1" x14ac:dyDescent="0.25">
      <c r="A114" s="26" t="s">
        <v>151</v>
      </c>
      <c r="B114" s="21" t="s">
        <v>33</v>
      </c>
      <c r="C114" s="22">
        <v>2</v>
      </c>
      <c r="D114" s="23"/>
      <c r="E114" s="15">
        <f>D114+(D114*19%)</f>
        <v>0</v>
      </c>
      <c r="F114" s="23">
        <v>5000</v>
      </c>
      <c r="I114" s="17"/>
    </row>
    <row r="115" spans="1:9" s="4" customFormat="1" x14ac:dyDescent="0.25">
      <c r="A115" s="11" t="s">
        <v>152</v>
      </c>
      <c r="B115" s="12" t="s">
        <v>153</v>
      </c>
      <c r="C115" s="18">
        <v>4</v>
      </c>
      <c r="D115" s="14">
        <v>4000</v>
      </c>
      <c r="E115" s="15">
        <v>4000</v>
      </c>
      <c r="F115" s="14">
        <v>9000</v>
      </c>
      <c r="I115" s="17"/>
    </row>
    <row r="116" spans="1:9" s="4" customFormat="1" x14ac:dyDescent="0.25">
      <c r="A116" s="11" t="s">
        <v>154</v>
      </c>
      <c r="B116" s="21" t="s">
        <v>155</v>
      </c>
      <c r="C116" s="22">
        <v>18</v>
      </c>
      <c r="D116" s="23">
        <v>2474</v>
      </c>
      <c r="E116" s="15">
        <f>D116+(D116*19%)</f>
        <v>2944.06</v>
      </c>
      <c r="F116" s="24">
        <v>5000</v>
      </c>
      <c r="I116" s="17"/>
    </row>
    <row r="117" spans="1:9" s="4" customFormat="1" x14ac:dyDescent="0.25">
      <c r="A117" s="11" t="s">
        <v>156</v>
      </c>
      <c r="B117" s="21" t="s">
        <v>157</v>
      </c>
      <c r="C117" s="22">
        <v>21</v>
      </c>
      <c r="D117" s="23">
        <v>2961</v>
      </c>
      <c r="E117" s="15">
        <f>D117+(D117*19%)</f>
        <v>3523.59</v>
      </c>
      <c r="F117" s="24">
        <v>7000</v>
      </c>
      <c r="I117" s="17"/>
    </row>
    <row r="118" spans="1:9" s="4" customFormat="1" x14ac:dyDescent="0.25">
      <c r="A118" s="11" t="s">
        <v>158</v>
      </c>
      <c r="B118" s="12" t="s">
        <v>159</v>
      </c>
      <c r="C118" s="22">
        <v>27</v>
      </c>
      <c r="D118" s="23">
        <v>2627</v>
      </c>
      <c r="E118" s="15">
        <f>D118+(D118*19%)</f>
        <v>3126.13</v>
      </c>
      <c r="F118" s="24">
        <v>6000</v>
      </c>
      <c r="I118" s="17"/>
    </row>
    <row r="119" spans="1:9" s="4" customFormat="1" x14ac:dyDescent="0.25">
      <c r="A119" s="11" t="s">
        <v>160</v>
      </c>
      <c r="B119" s="12" t="s">
        <v>161</v>
      </c>
      <c r="C119" s="27">
        <v>2</v>
      </c>
      <c r="D119" s="23">
        <v>6000</v>
      </c>
      <c r="E119" s="34">
        <v>6000</v>
      </c>
      <c r="F119" s="24">
        <v>9000</v>
      </c>
      <c r="I119" s="17"/>
    </row>
    <row r="120" spans="1:9" s="4" customFormat="1" x14ac:dyDescent="0.25">
      <c r="A120" s="11" t="s">
        <v>162</v>
      </c>
      <c r="B120" s="12" t="s">
        <v>163</v>
      </c>
      <c r="C120" s="22">
        <v>8</v>
      </c>
      <c r="D120" s="23">
        <v>11000</v>
      </c>
      <c r="E120" s="34">
        <v>11000</v>
      </c>
      <c r="F120" s="24">
        <v>13000</v>
      </c>
      <c r="I120" s="17"/>
    </row>
    <row r="121" spans="1:9" s="4" customFormat="1" x14ac:dyDescent="0.25">
      <c r="A121" s="11" t="s">
        <v>164</v>
      </c>
      <c r="B121" s="21" t="s">
        <v>165</v>
      </c>
      <c r="C121" s="35" t="s">
        <v>48</v>
      </c>
      <c r="D121" s="23">
        <v>13608</v>
      </c>
      <c r="E121" s="15">
        <f>D121+(D121*19%)</f>
        <v>16193.52</v>
      </c>
      <c r="F121" s="24">
        <v>20500</v>
      </c>
      <c r="I121" s="17"/>
    </row>
    <row r="122" spans="1:9" s="4" customFormat="1" x14ac:dyDescent="0.25">
      <c r="A122" s="11" t="s">
        <v>164</v>
      </c>
      <c r="B122" s="21" t="s">
        <v>166</v>
      </c>
      <c r="C122" s="35" t="s">
        <v>48</v>
      </c>
      <c r="D122" s="23">
        <v>12062</v>
      </c>
      <c r="E122" s="15">
        <f>D122+(D122*19%)</f>
        <v>14353.78</v>
      </c>
      <c r="F122" s="24">
        <v>21000</v>
      </c>
      <c r="I122" s="17"/>
    </row>
    <row r="123" spans="1:9" s="4" customFormat="1" x14ac:dyDescent="0.25">
      <c r="A123" s="11" t="s">
        <v>167</v>
      </c>
      <c r="B123" s="12" t="s">
        <v>33</v>
      </c>
      <c r="C123" s="20">
        <v>1</v>
      </c>
      <c r="D123" s="16">
        <v>15500</v>
      </c>
      <c r="E123" s="16">
        <v>15500</v>
      </c>
      <c r="F123" s="16">
        <v>30000</v>
      </c>
      <c r="I123" s="17"/>
    </row>
    <row r="124" spans="1:9" s="4" customFormat="1" x14ac:dyDescent="0.25">
      <c r="A124" s="11" t="s">
        <v>168</v>
      </c>
      <c r="B124" s="21" t="s">
        <v>169</v>
      </c>
      <c r="C124" s="20">
        <v>1</v>
      </c>
      <c r="D124" s="23">
        <v>22745</v>
      </c>
      <c r="E124" s="15">
        <f>D124+(D124*19%)</f>
        <v>27066.55</v>
      </c>
      <c r="F124" s="24">
        <v>37000</v>
      </c>
      <c r="I124" s="17"/>
    </row>
    <row r="125" spans="1:9" s="4" customFormat="1" x14ac:dyDescent="0.25">
      <c r="A125" s="11" t="s">
        <v>170</v>
      </c>
      <c r="B125" s="21" t="s">
        <v>171</v>
      </c>
      <c r="C125" s="22">
        <v>1</v>
      </c>
      <c r="D125" s="23"/>
      <c r="E125" s="15">
        <f>D125+(D125*19%)</f>
        <v>0</v>
      </c>
      <c r="F125" s="24">
        <v>34000</v>
      </c>
      <c r="I125" s="17"/>
    </row>
    <row r="126" spans="1:9" s="4" customFormat="1" x14ac:dyDescent="0.25">
      <c r="A126" s="11" t="s">
        <v>172</v>
      </c>
      <c r="B126" s="21" t="s">
        <v>173</v>
      </c>
      <c r="C126" s="22">
        <v>1</v>
      </c>
      <c r="D126" s="23">
        <v>0</v>
      </c>
      <c r="E126" s="15">
        <v>0</v>
      </c>
      <c r="F126" s="24">
        <v>30000</v>
      </c>
      <c r="I126" s="17"/>
    </row>
    <row r="127" spans="1:9" s="4" customFormat="1" x14ac:dyDescent="0.25">
      <c r="A127" s="11" t="s">
        <v>174</v>
      </c>
      <c r="B127" s="21" t="s">
        <v>175</v>
      </c>
      <c r="C127" s="22">
        <v>6</v>
      </c>
      <c r="D127" s="23">
        <v>12000</v>
      </c>
      <c r="E127" s="15">
        <v>12000</v>
      </c>
      <c r="F127" s="24">
        <v>20000</v>
      </c>
      <c r="I127" s="17"/>
    </row>
    <row r="128" spans="1:9" s="4" customFormat="1" x14ac:dyDescent="0.25">
      <c r="A128" s="11" t="s">
        <v>176</v>
      </c>
      <c r="B128" s="12" t="s">
        <v>177</v>
      </c>
      <c r="C128" s="18">
        <v>4</v>
      </c>
      <c r="D128" s="14">
        <v>6200</v>
      </c>
      <c r="E128" s="15">
        <f>D128+(D128*19%)</f>
        <v>7378</v>
      </c>
      <c r="F128" s="19">
        <v>15000</v>
      </c>
      <c r="I128" s="17"/>
    </row>
    <row r="129" spans="1:9" s="4" customFormat="1" x14ac:dyDescent="0.25">
      <c r="A129" s="11" t="s">
        <v>176</v>
      </c>
      <c r="B129" s="12" t="s">
        <v>178</v>
      </c>
      <c r="C129" s="18">
        <v>1</v>
      </c>
      <c r="D129" s="14">
        <v>6250</v>
      </c>
      <c r="E129" s="15">
        <f>D129+(D129*19%)</f>
        <v>7437.5</v>
      </c>
      <c r="F129" s="19">
        <v>15000</v>
      </c>
      <c r="I129" s="17"/>
    </row>
    <row r="130" spans="1:9" s="4" customFormat="1" x14ac:dyDescent="0.25">
      <c r="A130" s="11" t="s">
        <v>176</v>
      </c>
      <c r="B130" s="12" t="s">
        <v>179</v>
      </c>
      <c r="C130" s="18">
        <v>2</v>
      </c>
      <c r="D130" s="14">
        <v>6280</v>
      </c>
      <c r="E130" s="15">
        <f>D130+(D130*19%)</f>
        <v>7473.2</v>
      </c>
      <c r="F130" s="19">
        <v>15000</v>
      </c>
      <c r="I130" s="17"/>
    </row>
    <row r="131" spans="1:9" s="4" customFormat="1" ht="30" x14ac:dyDescent="0.25">
      <c r="A131" s="11" t="s">
        <v>176</v>
      </c>
      <c r="B131" s="12" t="s">
        <v>180</v>
      </c>
      <c r="C131" s="18">
        <v>1</v>
      </c>
      <c r="D131" s="14">
        <v>6902</v>
      </c>
      <c r="E131" s="15">
        <f>D131+(D131*19%)</f>
        <v>8213.380000000001</v>
      </c>
      <c r="F131" s="19">
        <v>25000</v>
      </c>
      <c r="I131" s="17"/>
    </row>
    <row r="132" spans="1:9" s="4" customFormat="1" x14ac:dyDescent="0.25">
      <c r="A132" s="11" t="s">
        <v>176</v>
      </c>
      <c r="B132" s="12" t="s">
        <v>181</v>
      </c>
      <c r="C132" s="18">
        <v>3</v>
      </c>
      <c r="D132" s="14">
        <v>6853</v>
      </c>
      <c r="E132" s="15">
        <f>D132+(D132*19%)</f>
        <v>8155.07</v>
      </c>
      <c r="F132" s="19">
        <v>20000</v>
      </c>
      <c r="I132" s="17"/>
    </row>
    <row r="133" spans="1:9" s="4" customFormat="1" x14ac:dyDescent="0.25">
      <c r="A133" s="11" t="s">
        <v>182</v>
      </c>
      <c r="B133" s="12" t="s">
        <v>183</v>
      </c>
      <c r="C133" s="18">
        <v>2</v>
      </c>
      <c r="D133" s="14">
        <v>13000</v>
      </c>
      <c r="E133" s="15">
        <v>13000</v>
      </c>
      <c r="F133" s="19">
        <v>38000</v>
      </c>
      <c r="I133" s="17"/>
    </row>
    <row r="134" spans="1:9" s="4" customFormat="1" x14ac:dyDescent="0.25">
      <c r="A134" s="11" t="s">
        <v>184</v>
      </c>
      <c r="B134" s="21" t="s">
        <v>185</v>
      </c>
      <c r="C134" s="22">
        <v>4</v>
      </c>
      <c r="D134" s="23">
        <v>6495</v>
      </c>
      <c r="E134" s="15">
        <f>D134+(D134*19%)</f>
        <v>7729.05</v>
      </c>
      <c r="F134" s="24">
        <v>20000</v>
      </c>
      <c r="I134" s="17"/>
    </row>
    <row r="135" spans="1:9" s="4" customFormat="1" ht="30" x14ac:dyDescent="0.25">
      <c r="A135" s="11" t="s">
        <v>186</v>
      </c>
      <c r="B135" s="21" t="s">
        <v>187</v>
      </c>
      <c r="C135" s="13" t="s">
        <v>48</v>
      </c>
      <c r="D135" s="23">
        <v>0</v>
      </c>
      <c r="E135" s="15">
        <v>0</v>
      </c>
      <c r="F135" s="32"/>
      <c r="I135" s="17"/>
    </row>
    <row r="136" spans="1:9" s="4" customFormat="1" x14ac:dyDescent="0.25">
      <c r="A136" s="11" t="s">
        <v>186</v>
      </c>
      <c r="B136" s="21" t="s">
        <v>188</v>
      </c>
      <c r="C136" s="13" t="s">
        <v>48</v>
      </c>
      <c r="D136" s="23">
        <v>0</v>
      </c>
      <c r="E136" s="15">
        <f>D136+(D136*19%)</f>
        <v>0</v>
      </c>
      <c r="F136" s="24">
        <v>32000</v>
      </c>
      <c r="G136" s="25"/>
      <c r="I136" s="17"/>
    </row>
    <row r="137" spans="1:9" s="4" customFormat="1" x14ac:dyDescent="0.25">
      <c r="A137" s="11" t="s">
        <v>186</v>
      </c>
      <c r="B137" s="21" t="s">
        <v>189</v>
      </c>
      <c r="C137" s="22">
        <v>1</v>
      </c>
      <c r="D137" s="23">
        <v>0</v>
      </c>
      <c r="E137" s="15">
        <v>0</v>
      </c>
      <c r="F137" s="24">
        <v>32000</v>
      </c>
      <c r="I137" s="17"/>
    </row>
    <row r="138" spans="1:9" s="4" customFormat="1" x14ac:dyDescent="0.25">
      <c r="A138" s="26" t="s">
        <v>190</v>
      </c>
      <c r="B138" s="21" t="s">
        <v>191</v>
      </c>
      <c r="C138" s="22">
        <v>1</v>
      </c>
      <c r="D138" s="23">
        <v>0</v>
      </c>
      <c r="E138" s="15">
        <f t="shared" ref="E138:E143" si="1">D138+(D138*19%)</f>
        <v>0</v>
      </c>
      <c r="F138" s="23">
        <v>12000</v>
      </c>
      <c r="I138" s="17"/>
    </row>
    <row r="139" spans="1:9" s="4" customFormat="1" x14ac:dyDescent="0.25">
      <c r="A139" s="11" t="s">
        <v>192</v>
      </c>
      <c r="B139" s="21" t="s">
        <v>193</v>
      </c>
      <c r="C139" s="22">
        <v>6</v>
      </c>
      <c r="D139" s="23">
        <v>1200</v>
      </c>
      <c r="E139" s="15">
        <f t="shared" si="1"/>
        <v>1428</v>
      </c>
      <c r="F139" s="24">
        <v>5000</v>
      </c>
      <c r="I139" s="17"/>
    </row>
    <row r="140" spans="1:9" s="4" customFormat="1" x14ac:dyDescent="0.25">
      <c r="A140" s="11" t="s">
        <v>192</v>
      </c>
      <c r="B140" s="21" t="s">
        <v>194</v>
      </c>
      <c r="C140" s="27">
        <v>14</v>
      </c>
      <c r="D140" s="23">
        <v>1800</v>
      </c>
      <c r="E140" s="15">
        <f t="shared" si="1"/>
        <v>2142</v>
      </c>
      <c r="F140" s="24">
        <v>7000</v>
      </c>
      <c r="I140" s="17"/>
    </row>
    <row r="141" spans="1:9" s="4" customFormat="1" ht="30" x14ac:dyDescent="0.25">
      <c r="A141" s="11" t="s">
        <v>192</v>
      </c>
      <c r="B141" s="21" t="s">
        <v>195</v>
      </c>
      <c r="C141" s="27">
        <v>10</v>
      </c>
      <c r="D141" s="23">
        <v>1900</v>
      </c>
      <c r="E141" s="15">
        <f t="shared" si="1"/>
        <v>2261</v>
      </c>
      <c r="F141" s="24">
        <v>5000</v>
      </c>
      <c r="I141" s="17"/>
    </row>
    <row r="142" spans="1:9" s="4" customFormat="1" x14ac:dyDescent="0.25">
      <c r="A142" s="11" t="s">
        <v>192</v>
      </c>
      <c r="B142" s="21" t="s">
        <v>179</v>
      </c>
      <c r="C142" s="22">
        <v>8</v>
      </c>
      <c r="D142" s="23">
        <v>1800</v>
      </c>
      <c r="E142" s="15">
        <f t="shared" si="1"/>
        <v>2142</v>
      </c>
      <c r="F142" s="24">
        <v>7000</v>
      </c>
      <c r="I142" s="17"/>
    </row>
    <row r="143" spans="1:9" s="4" customFormat="1" x14ac:dyDescent="0.25">
      <c r="A143" s="11" t="s">
        <v>196</v>
      </c>
      <c r="B143" s="21" t="s">
        <v>197</v>
      </c>
      <c r="C143" s="22">
        <v>6</v>
      </c>
      <c r="D143" s="23">
        <v>1959</v>
      </c>
      <c r="E143" s="15">
        <f t="shared" si="1"/>
        <v>2331.21</v>
      </c>
      <c r="F143" s="24">
        <v>5000</v>
      </c>
      <c r="I143" s="17"/>
    </row>
    <row r="144" spans="1:9" s="4" customFormat="1" x14ac:dyDescent="0.25">
      <c r="A144" s="11" t="s">
        <v>198</v>
      </c>
      <c r="B144" s="12" t="s">
        <v>199</v>
      </c>
      <c r="C144" s="35" t="s">
        <v>8</v>
      </c>
      <c r="D144" s="14">
        <v>37500</v>
      </c>
      <c r="E144" s="15">
        <v>37500</v>
      </c>
      <c r="F144" s="14">
        <v>78000</v>
      </c>
      <c r="I144" s="17"/>
    </row>
    <row r="145" spans="1:14" s="4" customFormat="1" ht="23.25" customHeight="1" x14ac:dyDescent="0.25">
      <c r="A145" s="42" t="s">
        <v>200</v>
      </c>
      <c r="B145" s="43" t="s">
        <v>201</v>
      </c>
      <c r="C145" s="44">
        <v>2</v>
      </c>
      <c r="D145" s="45">
        <v>39000</v>
      </c>
      <c r="E145" s="15">
        <f t="shared" ref="E145:E172" si="2">D145+(D145*19%)</f>
        <v>46410</v>
      </c>
      <c r="F145" s="45">
        <v>68000</v>
      </c>
      <c r="I145" s="17"/>
    </row>
    <row r="146" spans="1:14" s="4" customFormat="1" ht="44.25" customHeight="1" x14ac:dyDescent="0.25">
      <c r="A146" s="42" t="s">
        <v>200</v>
      </c>
      <c r="B146" s="21" t="s">
        <v>202</v>
      </c>
      <c r="C146" s="44">
        <v>2</v>
      </c>
      <c r="D146" s="23">
        <v>40067</v>
      </c>
      <c r="E146" s="15">
        <f t="shared" si="2"/>
        <v>47679.73</v>
      </c>
      <c r="F146" s="24">
        <v>68000</v>
      </c>
      <c r="G146" s="25"/>
      <c r="I146" s="17"/>
    </row>
    <row r="147" spans="1:14" s="4" customFormat="1" ht="41.25" customHeight="1" x14ac:dyDescent="0.25">
      <c r="A147" s="42" t="s">
        <v>203</v>
      </c>
      <c r="B147" s="21" t="s">
        <v>204</v>
      </c>
      <c r="C147" s="44">
        <v>3</v>
      </c>
      <c r="D147" s="23">
        <v>73991</v>
      </c>
      <c r="E147" s="15">
        <f t="shared" si="2"/>
        <v>88049.290000000008</v>
      </c>
      <c r="F147" s="46">
        <v>140000</v>
      </c>
      <c r="I147" s="17"/>
    </row>
    <row r="148" spans="1:14" s="4" customFormat="1" ht="27.75" customHeight="1" x14ac:dyDescent="0.25">
      <c r="A148" s="42" t="s">
        <v>205</v>
      </c>
      <c r="B148" s="43" t="s">
        <v>206</v>
      </c>
      <c r="C148" s="44">
        <v>6</v>
      </c>
      <c r="D148" s="45">
        <v>40897</v>
      </c>
      <c r="E148" s="15">
        <f t="shared" si="2"/>
        <v>48667.43</v>
      </c>
      <c r="F148" s="45">
        <v>68000</v>
      </c>
      <c r="I148" s="17"/>
    </row>
    <row r="149" spans="1:14" s="4" customFormat="1" ht="42" customHeight="1" x14ac:dyDescent="0.25">
      <c r="A149" s="11" t="s">
        <v>207</v>
      </c>
      <c r="B149" s="12" t="s">
        <v>208</v>
      </c>
      <c r="C149" s="18">
        <v>2</v>
      </c>
      <c r="D149" s="14">
        <v>37911</v>
      </c>
      <c r="E149" s="15">
        <f t="shared" si="2"/>
        <v>45114.09</v>
      </c>
      <c r="F149" s="19">
        <v>70000</v>
      </c>
      <c r="I149" s="17"/>
      <c r="N149" s="4" t="s">
        <v>209</v>
      </c>
    </row>
    <row r="150" spans="1:14" s="4" customFormat="1" ht="22.5" customHeight="1" x14ac:dyDescent="0.25">
      <c r="A150" s="11" t="s">
        <v>210</v>
      </c>
      <c r="B150" s="12" t="s">
        <v>211</v>
      </c>
      <c r="C150" s="18">
        <v>2</v>
      </c>
      <c r="D150" s="14">
        <v>41327</v>
      </c>
      <c r="E150" s="15">
        <f t="shared" si="2"/>
        <v>49179.13</v>
      </c>
      <c r="F150" s="14">
        <v>78000</v>
      </c>
      <c r="I150" s="17"/>
    </row>
    <row r="151" spans="1:14" s="4" customFormat="1" ht="21.75" customHeight="1" x14ac:dyDescent="0.25">
      <c r="A151" s="42" t="s">
        <v>212</v>
      </c>
      <c r="B151" s="43" t="s">
        <v>213</v>
      </c>
      <c r="C151" s="44">
        <v>8</v>
      </c>
      <c r="D151" s="45">
        <v>6498</v>
      </c>
      <c r="E151" s="15">
        <f t="shared" si="2"/>
        <v>7732.62</v>
      </c>
      <c r="F151" s="45">
        <v>10000</v>
      </c>
      <c r="I151" s="17"/>
    </row>
    <row r="152" spans="1:14" s="4" customFormat="1" ht="22.5" customHeight="1" x14ac:dyDescent="0.25">
      <c r="A152" s="42" t="s">
        <v>212</v>
      </c>
      <c r="B152" s="43" t="s">
        <v>214</v>
      </c>
      <c r="C152" s="44">
        <v>12</v>
      </c>
      <c r="D152" s="45">
        <v>4901</v>
      </c>
      <c r="E152" s="15">
        <f t="shared" si="2"/>
        <v>5832.1900000000005</v>
      </c>
      <c r="F152" s="45">
        <v>8000</v>
      </c>
      <c r="I152" s="17"/>
    </row>
    <row r="153" spans="1:14" s="4" customFormat="1" ht="38.25" customHeight="1" x14ac:dyDescent="0.25">
      <c r="A153" s="42" t="s">
        <v>212</v>
      </c>
      <c r="B153" s="43" t="s">
        <v>215</v>
      </c>
      <c r="C153" s="44">
        <v>4</v>
      </c>
      <c r="D153" s="45">
        <v>6498</v>
      </c>
      <c r="E153" s="15">
        <f t="shared" si="2"/>
        <v>7732.62</v>
      </c>
      <c r="F153" s="45">
        <v>12000</v>
      </c>
      <c r="I153" s="17"/>
    </row>
    <row r="154" spans="1:14" s="4" customFormat="1" ht="22.5" customHeight="1" x14ac:dyDescent="0.25">
      <c r="A154" s="42" t="s">
        <v>212</v>
      </c>
      <c r="B154" s="43" t="s">
        <v>216</v>
      </c>
      <c r="C154" s="44">
        <v>4</v>
      </c>
      <c r="D154" s="45">
        <v>7200</v>
      </c>
      <c r="E154" s="15">
        <f t="shared" si="2"/>
        <v>8568</v>
      </c>
      <c r="F154" s="45">
        <v>14000</v>
      </c>
      <c r="I154" s="17"/>
    </row>
    <row r="155" spans="1:14" s="4" customFormat="1" ht="21" customHeight="1" x14ac:dyDescent="0.25">
      <c r="A155" s="42" t="s">
        <v>212</v>
      </c>
      <c r="B155" s="43" t="s">
        <v>217</v>
      </c>
      <c r="C155" s="44">
        <v>5</v>
      </c>
      <c r="D155" s="45">
        <v>8275</v>
      </c>
      <c r="E155" s="15">
        <f t="shared" si="2"/>
        <v>9847.25</v>
      </c>
      <c r="F155" s="45">
        <v>14000</v>
      </c>
      <c r="I155" s="17"/>
    </row>
    <row r="156" spans="1:14" s="4" customFormat="1" ht="19.5" customHeight="1" x14ac:dyDescent="0.25">
      <c r="A156" s="42" t="s">
        <v>212</v>
      </c>
      <c r="B156" s="43" t="s">
        <v>218</v>
      </c>
      <c r="C156" s="44">
        <v>4</v>
      </c>
      <c r="D156" s="45">
        <v>7900</v>
      </c>
      <c r="E156" s="15">
        <f t="shared" si="2"/>
        <v>9401</v>
      </c>
      <c r="F156" s="45">
        <v>14000</v>
      </c>
      <c r="G156" s="25"/>
      <c r="I156" s="17"/>
    </row>
    <row r="157" spans="1:14" s="4" customFormat="1" ht="20.25" customHeight="1" x14ac:dyDescent="0.25">
      <c r="A157" s="42" t="s">
        <v>212</v>
      </c>
      <c r="B157" s="43" t="s">
        <v>219</v>
      </c>
      <c r="C157" s="44">
        <v>5</v>
      </c>
      <c r="D157" s="45">
        <v>3936</v>
      </c>
      <c r="E157" s="15">
        <f t="shared" si="2"/>
        <v>4683.84</v>
      </c>
      <c r="F157" s="45">
        <v>7000</v>
      </c>
      <c r="I157" s="17"/>
    </row>
    <row r="158" spans="1:14" s="4" customFormat="1" ht="39.75" customHeight="1" x14ac:dyDescent="0.25">
      <c r="A158" s="42" t="s">
        <v>212</v>
      </c>
      <c r="B158" s="43" t="s">
        <v>220</v>
      </c>
      <c r="C158" s="44">
        <v>4</v>
      </c>
      <c r="D158" s="45">
        <v>6200</v>
      </c>
      <c r="E158" s="15">
        <f t="shared" si="2"/>
        <v>7378</v>
      </c>
      <c r="F158" s="45">
        <v>10000</v>
      </c>
      <c r="G158" s="25"/>
      <c r="I158" s="17"/>
    </row>
    <row r="159" spans="1:14" s="4" customFormat="1" ht="40.5" customHeight="1" x14ac:dyDescent="0.25">
      <c r="A159" s="42" t="s">
        <v>212</v>
      </c>
      <c r="B159" s="43" t="s">
        <v>221</v>
      </c>
      <c r="C159" s="44">
        <v>2</v>
      </c>
      <c r="D159" s="45">
        <v>4700</v>
      </c>
      <c r="E159" s="15">
        <f t="shared" si="2"/>
        <v>5593</v>
      </c>
      <c r="F159" s="45">
        <v>8000</v>
      </c>
      <c r="G159" s="25">
        <f>D159+D159+D153</f>
        <v>15898</v>
      </c>
      <c r="I159" s="17"/>
    </row>
    <row r="160" spans="1:14" s="4" customFormat="1" ht="25.5" customHeight="1" x14ac:dyDescent="0.25">
      <c r="A160" s="42" t="s">
        <v>212</v>
      </c>
      <c r="B160" s="43" t="s">
        <v>222</v>
      </c>
      <c r="C160" s="44">
        <v>2</v>
      </c>
      <c r="D160" s="45">
        <v>8450</v>
      </c>
      <c r="E160" s="15">
        <f t="shared" si="2"/>
        <v>10055.5</v>
      </c>
      <c r="F160" s="45">
        <v>12000</v>
      </c>
      <c r="I160" s="17"/>
    </row>
    <row r="161" spans="1:9" s="4" customFormat="1" ht="15.75" x14ac:dyDescent="0.25">
      <c r="A161" s="42" t="s">
        <v>212</v>
      </c>
      <c r="B161" s="43" t="s">
        <v>223</v>
      </c>
      <c r="C161" s="44">
        <v>4</v>
      </c>
      <c r="D161" s="45">
        <v>6200</v>
      </c>
      <c r="E161" s="15">
        <f t="shared" si="2"/>
        <v>7378</v>
      </c>
      <c r="F161" s="45">
        <v>12000</v>
      </c>
      <c r="I161" s="17"/>
    </row>
    <row r="162" spans="1:9" s="4" customFormat="1" ht="15.75" x14ac:dyDescent="0.25">
      <c r="A162" s="42" t="s">
        <v>212</v>
      </c>
      <c r="B162" s="43" t="s">
        <v>224</v>
      </c>
      <c r="C162" s="44">
        <v>4</v>
      </c>
      <c r="D162" s="45">
        <v>4819</v>
      </c>
      <c r="E162" s="15">
        <f t="shared" si="2"/>
        <v>5734.61</v>
      </c>
      <c r="F162" s="45">
        <v>10000</v>
      </c>
      <c r="I162" s="17"/>
    </row>
    <row r="163" spans="1:9" s="4" customFormat="1" ht="15.75" x14ac:dyDescent="0.25">
      <c r="A163" s="42" t="s">
        <v>212</v>
      </c>
      <c r="B163" s="43" t="s">
        <v>225</v>
      </c>
      <c r="C163" s="44">
        <v>4</v>
      </c>
      <c r="D163" s="45">
        <v>4600</v>
      </c>
      <c r="E163" s="15">
        <f t="shared" si="2"/>
        <v>5474</v>
      </c>
      <c r="F163" s="45">
        <v>8000</v>
      </c>
      <c r="I163" s="17"/>
    </row>
    <row r="164" spans="1:9" s="4" customFormat="1" ht="15.75" x14ac:dyDescent="0.25">
      <c r="A164" s="42" t="s">
        <v>212</v>
      </c>
      <c r="B164" s="43" t="s">
        <v>226</v>
      </c>
      <c r="C164" s="44">
        <v>2</v>
      </c>
      <c r="D164" s="45">
        <v>7850</v>
      </c>
      <c r="E164" s="15">
        <f t="shared" si="2"/>
        <v>9341.5</v>
      </c>
      <c r="F164" s="45">
        <v>15000</v>
      </c>
      <c r="G164" s="25"/>
      <c r="I164" s="17"/>
    </row>
    <row r="165" spans="1:9" s="4" customFormat="1" ht="15.75" x14ac:dyDescent="0.25">
      <c r="A165" s="42" t="s">
        <v>212</v>
      </c>
      <c r="B165" s="43" t="s">
        <v>227</v>
      </c>
      <c r="C165" s="44">
        <v>4</v>
      </c>
      <c r="D165" s="45">
        <v>7900</v>
      </c>
      <c r="E165" s="15">
        <f t="shared" si="2"/>
        <v>9401</v>
      </c>
      <c r="F165" s="45">
        <v>14000</v>
      </c>
      <c r="G165" s="25"/>
      <c r="I165" s="17"/>
    </row>
    <row r="166" spans="1:9" s="4" customFormat="1" ht="15.75" x14ac:dyDescent="0.25">
      <c r="A166" s="42" t="s">
        <v>212</v>
      </c>
      <c r="B166" s="43" t="s">
        <v>228</v>
      </c>
      <c r="C166" s="44">
        <v>4</v>
      </c>
      <c r="D166" s="45">
        <v>6699</v>
      </c>
      <c r="E166" s="15">
        <f t="shared" si="2"/>
        <v>7971.8099999999995</v>
      </c>
      <c r="F166" s="45">
        <v>10000</v>
      </c>
      <c r="G166" s="25"/>
      <c r="I166" s="17"/>
    </row>
    <row r="167" spans="1:9" s="4" customFormat="1" ht="15.75" x14ac:dyDescent="0.25">
      <c r="A167" s="42" t="s">
        <v>212</v>
      </c>
      <c r="B167" s="43" t="s">
        <v>229</v>
      </c>
      <c r="C167" s="44">
        <v>2</v>
      </c>
      <c r="D167" s="45">
        <v>5600</v>
      </c>
      <c r="E167" s="15">
        <f t="shared" si="2"/>
        <v>6664</v>
      </c>
      <c r="F167" s="45">
        <v>10000</v>
      </c>
      <c r="I167" s="17"/>
    </row>
    <row r="168" spans="1:9" s="4" customFormat="1" ht="15.75" x14ac:dyDescent="0.25">
      <c r="A168" s="42" t="s">
        <v>212</v>
      </c>
      <c r="B168" s="43" t="s">
        <v>230</v>
      </c>
      <c r="C168" s="44">
        <v>2</v>
      </c>
      <c r="D168" s="45">
        <v>10100</v>
      </c>
      <c r="E168" s="15">
        <f t="shared" si="2"/>
        <v>12019</v>
      </c>
      <c r="F168" s="45">
        <v>20000</v>
      </c>
      <c r="I168" s="17"/>
    </row>
    <row r="169" spans="1:9" s="4" customFormat="1" ht="15.75" x14ac:dyDescent="0.25">
      <c r="A169" s="42" t="s">
        <v>212</v>
      </c>
      <c r="B169" s="43" t="s">
        <v>231</v>
      </c>
      <c r="C169" s="44">
        <v>3</v>
      </c>
      <c r="D169" s="45">
        <v>4814</v>
      </c>
      <c r="E169" s="15">
        <f t="shared" si="2"/>
        <v>5728.66</v>
      </c>
      <c r="F169" s="45">
        <v>8000</v>
      </c>
      <c r="I169" s="17"/>
    </row>
    <row r="170" spans="1:9" s="4" customFormat="1" ht="30" x14ac:dyDescent="0.25">
      <c r="A170" s="47" t="s">
        <v>212</v>
      </c>
      <c r="B170" s="29" t="s">
        <v>232</v>
      </c>
      <c r="C170" s="35" t="s">
        <v>8</v>
      </c>
      <c r="D170" s="30">
        <v>4600</v>
      </c>
      <c r="E170" s="15">
        <f t="shared" si="2"/>
        <v>5474</v>
      </c>
      <c r="F170" s="48">
        <v>9000</v>
      </c>
      <c r="I170" s="17"/>
    </row>
    <row r="171" spans="1:9" s="4" customFormat="1" x14ac:dyDescent="0.25">
      <c r="A171" s="47" t="s">
        <v>212</v>
      </c>
      <c r="B171" s="29" t="s">
        <v>233</v>
      </c>
      <c r="C171" s="27">
        <v>10</v>
      </c>
      <c r="D171" s="30">
        <v>4368</v>
      </c>
      <c r="E171" s="15">
        <f t="shared" si="2"/>
        <v>5197.92</v>
      </c>
      <c r="F171" s="48">
        <v>8000</v>
      </c>
      <c r="I171" s="17"/>
    </row>
    <row r="172" spans="1:9" s="4" customFormat="1" x14ac:dyDescent="0.25">
      <c r="A172" s="47" t="s">
        <v>212</v>
      </c>
      <c r="B172" s="29" t="s">
        <v>234</v>
      </c>
      <c r="C172" s="27">
        <v>5</v>
      </c>
      <c r="D172" s="30">
        <v>7088</v>
      </c>
      <c r="E172" s="15">
        <f t="shared" si="2"/>
        <v>8434.7199999999993</v>
      </c>
      <c r="F172" s="48">
        <v>13000</v>
      </c>
      <c r="G172" s="49"/>
      <c r="I172" s="17"/>
    </row>
    <row r="173" spans="1:9" s="4" customFormat="1" x14ac:dyDescent="0.25">
      <c r="A173" s="47" t="s">
        <v>235</v>
      </c>
      <c r="B173" s="50" t="s">
        <v>33</v>
      </c>
      <c r="C173" s="20">
        <v>1</v>
      </c>
      <c r="D173" s="16">
        <v>2800</v>
      </c>
      <c r="E173" s="16">
        <v>2800</v>
      </c>
      <c r="F173" s="16">
        <v>6000</v>
      </c>
      <c r="I173" s="17"/>
    </row>
    <row r="174" spans="1:9" s="4" customFormat="1" x14ac:dyDescent="0.25">
      <c r="A174" s="11" t="s">
        <v>236</v>
      </c>
      <c r="B174" s="21" t="s">
        <v>33</v>
      </c>
      <c r="C174" s="27">
        <v>3</v>
      </c>
      <c r="D174" s="23">
        <v>3000</v>
      </c>
      <c r="E174" s="23">
        <v>3000</v>
      </c>
      <c r="F174" s="24">
        <v>6000</v>
      </c>
      <c r="I174" s="17"/>
    </row>
    <row r="175" spans="1:9" s="4" customFormat="1" x14ac:dyDescent="0.25">
      <c r="A175" s="11" t="s">
        <v>237</v>
      </c>
      <c r="B175" s="12" t="s">
        <v>33</v>
      </c>
      <c r="C175" s="35" t="s">
        <v>8</v>
      </c>
      <c r="D175" s="14">
        <v>1600</v>
      </c>
      <c r="E175" s="14">
        <v>1600</v>
      </c>
      <c r="F175" s="16">
        <v>6000</v>
      </c>
      <c r="G175" s="49"/>
      <c r="I175" s="17"/>
    </row>
    <row r="176" spans="1:9" s="4" customFormat="1" x14ac:dyDescent="0.25">
      <c r="A176" s="11" t="s">
        <v>238</v>
      </c>
      <c r="B176" s="21" t="s">
        <v>33</v>
      </c>
      <c r="C176" s="35" t="s">
        <v>8</v>
      </c>
      <c r="D176" s="23">
        <v>8500</v>
      </c>
      <c r="E176" s="23">
        <v>8500</v>
      </c>
      <c r="F176" s="24">
        <v>13500</v>
      </c>
      <c r="I176" s="17"/>
    </row>
    <row r="177" spans="1:9" s="4" customFormat="1" x14ac:dyDescent="0.25">
      <c r="A177" s="47" t="s">
        <v>239</v>
      </c>
      <c r="B177" s="29" t="s">
        <v>122</v>
      </c>
      <c r="C177" s="27">
        <v>1</v>
      </c>
      <c r="D177" s="30">
        <v>14990</v>
      </c>
      <c r="E177" s="15">
        <f t="shared" ref="E177:E219" si="3">D177+(D177*19%)</f>
        <v>17838.099999999999</v>
      </c>
      <c r="F177" s="48">
        <v>32000</v>
      </c>
      <c r="I177" s="17"/>
    </row>
    <row r="178" spans="1:9" s="4" customFormat="1" x14ac:dyDescent="0.25">
      <c r="A178" s="11" t="s">
        <v>240</v>
      </c>
      <c r="B178" s="12" t="s">
        <v>241</v>
      </c>
      <c r="C178" s="18">
        <v>2</v>
      </c>
      <c r="D178" s="14">
        <v>35444</v>
      </c>
      <c r="E178" s="15">
        <f t="shared" si="3"/>
        <v>42178.36</v>
      </c>
      <c r="F178" s="19">
        <v>75000</v>
      </c>
      <c r="G178" s="49"/>
      <c r="I178" s="17"/>
    </row>
    <row r="179" spans="1:9" s="4" customFormat="1" x14ac:dyDescent="0.25">
      <c r="A179" s="47" t="s">
        <v>242</v>
      </c>
      <c r="B179" s="29" t="s">
        <v>12</v>
      </c>
      <c r="C179" s="18">
        <v>4</v>
      </c>
      <c r="D179" s="30">
        <v>35395</v>
      </c>
      <c r="E179" s="15">
        <f t="shared" si="3"/>
        <v>42120.05</v>
      </c>
      <c r="F179" s="48">
        <v>62000</v>
      </c>
      <c r="I179" s="17"/>
    </row>
    <row r="180" spans="1:9" s="4" customFormat="1" x14ac:dyDescent="0.25">
      <c r="A180" s="47" t="s">
        <v>242</v>
      </c>
      <c r="B180" s="29" t="s">
        <v>243</v>
      </c>
      <c r="C180" s="27">
        <v>3</v>
      </c>
      <c r="D180" s="30">
        <v>31531</v>
      </c>
      <c r="E180" s="15">
        <f t="shared" si="3"/>
        <v>37521.89</v>
      </c>
      <c r="F180" s="48">
        <v>57000</v>
      </c>
      <c r="I180" s="17"/>
    </row>
    <row r="181" spans="1:9" s="4" customFormat="1" x14ac:dyDescent="0.25">
      <c r="A181" s="47" t="s">
        <v>242</v>
      </c>
      <c r="B181" s="29" t="s">
        <v>244</v>
      </c>
      <c r="C181" s="27">
        <v>5</v>
      </c>
      <c r="D181" s="30">
        <v>27900</v>
      </c>
      <c r="E181" s="15">
        <f t="shared" si="3"/>
        <v>33201</v>
      </c>
      <c r="F181" s="48">
        <v>52000</v>
      </c>
      <c r="I181" s="17"/>
    </row>
    <row r="182" spans="1:9" s="4" customFormat="1" x14ac:dyDescent="0.25">
      <c r="A182" s="11" t="s">
        <v>245</v>
      </c>
      <c r="B182" s="12" t="s">
        <v>60</v>
      </c>
      <c r="C182" s="18">
        <v>4</v>
      </c>
      <c r="D182" s="14">
        <v>10309</v>
      </c>
      <c r="E182" s="15">
        <f t="shared" si="3"/>
        <v>12267.71</v>
      </c>
      <c r="F182" s="19">
        <v>25000</v>
      </c>
      <c r="I182" s="17"/>
    </row>
    <row r="183" spans="1:9" s="4" customFormat="1" x14ac:dyDescent="0.25">
      <c r="A183" s="11" t="s">
        <v>245</v>
      </c>
      <c r="B183" s="12" t="s">
        <v>246</v>
      </c>
      <c r="C183" s="18">
        <v>3</v>
      </c>
      <c r="D183" s="14">
        <v>10825</v>
      </c>
      <c r="E183" s="15">
        <f t="shared" si="3"/>
        <v>12881.75</v>
      </c>
      <c r="F183" s="19">
        <v>25000</v>
      </c>
      <c r="I183" s="17"/>
    </row>
    <row r="184" spans="1:9" s="4" customFormat="1" x14ac:dyDescent="0.25">
      <c r="A184" s="47" t="s">
        <v>245</v>
      </c>
      <c r="B184" s="29" t="s">
        <v>247</v>
      </c>
      <c r="C184" s="27">
        <v>1</v>
      </c>
      <c r="D184" s="30">
        <v>11300</v>
      </c>
      <c r="E184" s="15">
        <f t="shared" si="3"/>
        <v>13447</v>
      </c>
      <c r="F184" s="48">
        <v>24000</v>
      </c>
      <c r="I184" s="17"/>
    </row>
    <row r="185" spans="1:9" s="4" customFormat="1" x14ac:dyDescent="0.25">
      <c r="A185" s="47" t="s">
        <v>245</v>
      </c>
      <c r="B185" s="29" t="s">
        <v>171</v>
      </c>
      <c r="C185" s="27">
        <v>2</v>
      </c>
      <c r="D185" s="30">
        <v>10650</v>
      </c>
      <c r="E185" s="15">
        <f t="shared" si="3"/>
        <v>12673.5</v>
      </c>
      <c r="F185" s="48">
        <v>22000</v>
      </c>
      <c r="I185" s="17"/>
    </row>
    <row r="186" spans="1:9" s="4" customFormat="1" x14ac:dyDescent="0.25">
      <c r="A186" s="47" t="s">
        <v>245</v>
      </c>
      <c r="B186" s="29" t="s">
        <v>248</v>
      </c>
      <c r="C186" s="27">
        <v>2</v>
      </c>
      <c r="D186" s="30">
        <v>14278</v>
      </c>
      <c r="E186" s="15">
        <f t="shared" si="3"/>
        <v>16990.82</v>
      </c>
      <c r="F186" s="48">
        <v>32000</v>
      </c>
      <c r="I186" s="17"/>
    </row>
    <row r="187" spans="1:9" s="4" customFormat="1" x14ac:dyDescent="0.25">
      <c r="A187" s="47" t="s">
        <v>245</v>
      </c>
      <c r="B187" s="29" t="s">
        <v>249</v>
      </c>
      <c r="C187" s="27">
        <v>4</v>
      </c>
      <c r="D187" s="30">
        <v>19490</v>
      </c>
      <c r="E187" s="15">
        <f t="shared" si="3"/>
        <v>23193.1</v>
      </c>
      <c r="F187" s="48">
        <v>42000</v>
      </c>
      <c r="I187" s="17"/>
    </row>
    <row r="188" spans="1:9" s="4" customFormat="1" x14ac:dyDescent="0.25">
      <c r="A188" s="47" t="s">
        <v>245</v>
      </c>
      <c r="B188" s="29" t="s">
        <v>250</v>
      </c>
      <c r="C188" s="27">
        <v>4</v>
      </c>
      <c r="D188" s="30">
        <v>14250</v>
      </c>
      <c r="E188" s="15">
        <f t="shared" si="3"/>
        <v>16957.5</v>
      </c>
      <c r="F188" s="48">
        <v>35000</v>
      </c>
      <c r="I188" s="17"/>
    </row>
    <row r="189" spans="1:9" s="4" customFormat="1" x14ac:dyDescent="0.25">
      <c r="A189" s="11" t="s">
        <v>251</v>
      </c>
      <c r="B189" s="12" t="s">
        <v>252</v>
      </c>
      <c r="C189" s="18">
        <v>2</v>
      </c>
      <c r="D189" s="14">
        <v>10963</v>
      </c>
      <c r="E189" s="15">
        <f t="shared" si="3"/>
        <v>13045.97</v>
      </c>
      <c r="F189" s="19">
        <v>35000</v>
      </c>
      <c r="I189" s="17"/>
    </row>
    <row r="190" spans="1:9" s="4" customFormat="1" x14ac:dyDescent="0.25">
      <c r="A190" s="11" t="s">
        <v>251</v>
      </c>
      <c r="B190" s="12" t="s">
        <v>253</v>
      </c>
      <c r="C190" s="18">
        <v>2</v>
      </c>
      <c r="D190" s="14">
        <v>10863</v>
      </c>
      <c r="E190" s="15">
        <f t="shared" si="3"/>
        <v>12926.97</v>
      </c>
      <c r="F190" s="19">
        <v>35000</v>
      </c>
      <c r="I190" s="17"/>
    </row>
    <row r="191" spans="1:9" s="4" customFormat="1" x14ac:dyDescent="0.25">
      <c r="A191" s="11" t="s">
        <v>251</v>
      </c>
      <c r="B191" s="12" t="s">
        <v>254</v>
      </c>
      <c r="C191" s="18">
        <v>1</v>
      </c>
      <c r="D191" s="14">
        <v>12043</v>
      </c>
      <c r="E191" s="15">
        <f t="shared" si="3"/>
        <v>14331.17</v>
      </c>
      <c r="F191" s="19">
        <v>26000</v>
      </c>
      <c r="I191" s="17"/>
    </row>
    <row r="192" spans="1:9" s="4" customFormat="1" x14ac:dyDescent="0.25">
      <c r="A192" s="11" t="s">
        <v>251</v>
      </c>
      <c r="B192" s="12" t="s">
        <v>255</v>
      </c>
      <c r="C192" s="18">
        <v>3</v>
      </c>
      <c r="D192" s="14">
        <v>8116</v>
      </c>
      <c r="E192" s="15">
        <f t="shared" si="3"/>
        <v>9658.0400000000009</v>
      </c>
      <c r="F192" s="19">
        <v>25000</v>
      </c>
      <c r="I192" s="17"/>
    </row>
    <row r="193" spans="1:9" s="4" customFormat="1" x14ac:dyDescent="0.25">
      <c r="A193" s="47" t="s">
        <v>256</v>
      </c>
      <c r="B193" s="29" t="s">
        <v>113</v>
      </c>
      <c r="C193" s="27">
        <v>4</v>
      </c>
      <c r="D193" s="30">
        <v>14800</v>
      </c>
      <c r="E193" s="15">
        <f t="shared" si="3"/>
        <v>17612</v>
      </c>
      <c r="F193" s="48">
        <v>26000</v>
      </c>
      <c r="I193" s="17"/>
    </row>
    <row r="194" spans="1:9" s="4" customFormat="1" x14ac:dyDescent="0.25">
      <c r="A194" s="47" t="s">
        <v>257</v>
      </c>
      <c r="B194" s="29" t="s">
        <v>113</v>
      </c>
      <c r="C194" s="27">
        <v>11</v>
      </c>
      <c r="D194" s="30">
        <v>13950</v>
      </c>
      <c r="E194" s="15">
        <f t="shared" si="3"/>
        <v>16600.5</v>
      </c>
      <c r="F194" s="48">
        <v>26000</v>
      </c>
      <c r="I194" s="17"/>
    </row>
    <row r="195" spans="1:9" s="4" customFormat="1" x14ac:dyDescent="0.25">
      <c r="A195" s="47" t="s">
        <v>257</v>
      </c>
      <c r="B195" s="29" t="s">
        <v>248</v>
      </c>
      <c r="C195" s="27">
        <v>2</v>
      </c>
      <c r="D195" s="30">
        <v>14400</v>
      </c>
      <c r="E195" s="15">
        <f t="shared" si="3"/>
        <v>17136</v>
      </c>
      <c r="F195" s="48">
        <v>30000</v>
      </c>
      <c r="I195" s="17"/>
    </row>
    <row r="196" spans="1:9" s="4" customFormat="1" x14ac:dyDescent="0.25">
      <c r="A196" s="47" t="s">
        <v>257</v>
      </c>
      <c r="B196" s="29" t="s">
        <v>249</v>
      </c>
      <c r="C196" s="27">
        <v>6</v>
      </c>
      <c r="D196" s="30">
        <v>16600</v>
      </c>
      <c r="E196" s="15">
        <f t="shared" si="3"/>
        <v>19754</v>
      </c>
      <c r="F196" s="48">
        <v>35000</v>
      </c>
      <c r="I196" s="17"/>
    </row>
    <row r="197" spans="1:9" s="4" customFormat="1" x14ac:dyDescent="0.25">
      <c r="A197" s="47" t="s">
        <v>257</v>
      </c>
      <c r="B197" s="29" t="s">
        <v>171</v>
      </c>
      <c r="C197" s="27">
        <v>3</v>
      </c>
      <c r="D197" s="30">
        <v>12650</v>
      </c>
      <c r="E197" s="15">
        <f t="shared" si="3"/>
        <v>15053.5</v>
      </c>
      <c r="F197" s="48">
        <v>24000</v>
      </c>
      <c r="I197" s="17"/>
    </row>
    <row r="198" spans="1:9" s="4" customFormat="1" x14ac:dyDescent="0.25">
      <c r="A198" s="11" t="s">
        <v>258</v>
      </c>
      <c r="B198" s="12" t="s">
        <v>259</v>
      </c>
      <c r="C198" s="18">
        <v>4</v>
      </c>
      <c r="D198" s="14">
        <v>13196</v>
      </c>
      <c r="E198" s="15">
        <f t="shared" si="3"/>
        <v>15703.24</v>
      </c>
      <c r="F198" s="19">
        <v>28000</v>
      </c>
      <c r="I198" s="17"/>
    </row>
    <row r="199" spans="1:9" s="4" customFormat="1" x14ac:dyDescent="0.25">
      <c r="A199" s="11" t="s">
        <v>258</v>
      </c>
      <c r="B199" s="12" t="s">
        <v>246</v>
      </c>
      <c r="C199" s="18">
        <v>3</v>
      </c>
      <c r="D199" s="14">
        <v>12050</v>
      </c>
      <c r="E199" s="15">
        <f t="shared" si="3"/>
        <v>14339.5</v>
      </c>
      <c r="F199" s="19">
        <v>26000</v>
      </c>
      <c r="I199" s="17"/>
    </row>
    <row r="200" spans="1:9" s="4" customFormat="1" x14ac:dyDescent="0.25">
      <c r="A200" s="11" t="s">
        <v>258</v>
      </c>
      <c r="B200" s="12" t="s">
        <v>20</v>
      </c>
      <c r="C200" s="18">
        <v>4</v>
      </c>
      <c r="D200" s="14">
        <v>19785</v>
      </c>
      <c r="E200" s="15">
        <f t="shared" si="3"/>
        <v>23544.15</v>
      </c>
      <c r="F200" s="19">
        <v>38000</v>
      </c>
      <c r="I200" s="17"/>
    </row>
    <row r="201" spans="1:9" s="4" customFormat="1" x14ac:dyDescent="0.25">
      <c r="A201" s="11" t="s">
        <v>258</v>
      </c>
      <c r="B201" s="12" t="s">
        <v>260</v>
      </c>
      <c r="C201" s="18">
        <v>3</v>
      </c>
      <c r="D201" s="14">
        <v>24199</v>
      </c>
      <c r="E201" s="15">
        <f t="shared" si="3"/>
        <v>28796.81</v>
      </c>
      <c r="F201" s="19">
        <v>50000</v>
      </c>
      <c r="I201" s="17"/>
    </row>
    <row r="202" spans="1:9" s="4" customFormat="1" x14ac:dyDescent="0.25">
      <c r="A202" s="28" t="s">
        <v>261</v>
      </c>
      <c r="B202" s="29" t="s">
        <v>262</v>
      </c>
      <c r="C202" s="27">
        <v>2</v>
      </c>
      <c r="D202" s="30">
        <v>8763</v>
      </c>
      <c r="E202" s="15">
        <f t="shared" si="3"/>
        <v>10427.969999999999</v>
      </c>
      <c r="F202" s="30">
        <v>15000</v>
      </c>
      <c r="I202" s="17"/>
    </row>
    <row r="203" spans="1:9" s="4" customFormat="1" ht="45" x14ac:dyDescent="0.25">
      <c r="A203" s="28" t="s">
        <v>261</v>
      </c>
      <c r="B203" s="29" t="s">
        <v>263</v>
      </c>
      <c r="C203" s="27">
        <v>2</v>
      </c>
      <c r="D203" s="30">
        <v>8300</v>
      </c>
      <c r="E203" s="15">
        <f t="shared" si="3"/>
        <v>9877</v>
      </c>
      <c r="F203" s="30">
        <v>15000</v>
      </c>
      <c r="I203" s="17"/>
    </row>
    <row r="204" spans="1:9" s="4" customFormat="1" x14ac:dyDescent="0.25">
      <c r="A204" s="28" t="s">
        <v>261</v>
      </c>
      <c r="B204" s="29" t="s">
        <v>264</v>
      </c>
      <c r="C204" s="27">
        <v>4</v>
      </c>
      <c r="D204" s="30">
        <v>8763</v>
      </c>
      <c r="E204" s="15">
        <f t="shared" si="3"/>
        <v>10427.969999999999</v>
      </c>
      <c r="F204" s="30">
        <v>15000</v>
      </c>
      <c r="I204" s="17"/>
    </row>
    <row r="205" spans="1:9" s="4" customFormat="1" ht="30" x14ac:dyDescent="0.25">
      <c r="A205" s="28" t="s">
        <v>261</v>
      </c>
      <c r="B205" s="29" t="s">
        <v>265</v>
      </c>
      <c r="C205" s="20">
        <v>1</v>
      </c>
      <c r="D205" s="16">
        <v>13000</v>
      </c>
      <c r="E205" s="15">
        <f t="shared" si="3"/>
        <v>15470</v>
      </c>
      <c r="F205" s="48">
        <v>22000</v>
      </c>
      <c r="I205" s="17"/>
    </row>
    <row r="206" spans="1:9" s="4" customFormat="1" x14ac:dyDescent="0.25">
      <c r="A206" s="28" t="s">
        <v>266</v>
      </c>
      <c r="B206" s="29" t="s">
        <v>267</v>
      </c>
      <c r="C206" s="27">
        <v>3</v>
      </c>
      <c r="D206" s="30">
        <v>9700</v>
      </c>
      <c r="E206" s="15">
        <f t="shared" si="3"/>
        <v>11543</v>
      </c>
      <c r="F206" s="30">
        <v>26000</v>
      </c>
      <c r="I206" s="17"/>
    </row>
    <row r="207" spans="1:9" s="4" customFormat="1" x14ac:dyDescent="0.25">
      <c r="A207" s="28" t="s">
        <v>268</v>
      </c>
      <c r="B207" s="29" t="s">
        <v>269</v>
      </c>
      <c r="C207" s="27">
        <v>2</v>
      </c>
      <c r="D207" s="30">
        <v>8763</v>
      </c>
      <c r="E207" s="15">
        <f t="shared" si="3"/>
        <v>10427.969999999999</v>
      </c>
      <c r="F207" s="30">
        <v>15000</v>
      </c>
      <c r="I207" s="17"/>
    </row>
    <row r="208" spans="1:9" s="4" customFormat="1" x14ac:dyDescent="0.25">
      <c r="A208" s="11" t="s">
        <v>268</v>
      </c>
      <c r="B208" s="12" t="s">
        <v>270</v>
      </c>
      <c r="C208" s="18">
        <v>5</v>
      </c>
      <c r="D208" s="14">
        <v>8763</v>
      </c>
      <c r="E208" s="15">
        <f t="shared" si="3"/>
        <v>10427.969999999999</v>
      </c>
      <c r="F208" s="19">
        <v>15000</v>
      </c>
      <c r="I208" s="17"/>
    </row>
    <row r="209" spans="1:9" s="4" customFormat="1" x14ac:dyDescent="0.25">
      <c r="A209" s="11" t="s">
        <v>268</v>
      </c>
      <c r="B209" s="12" t="s">
        <v>271</v>
      </c>
      <c r="C209" s="18">
        <v>1</v>
      </c>
      <c r="D209" s="14">
        <v>8100</v>
      </c>
      <c r="E209" s="15">
        <f t="shared" si="3"/>
        <v>9639</v>
      </c>
      <c r="F209" s="19">
        <v>20000</v>
      </c>
      <c r="I209" s="17"/>
    </row>
    <row r="210" spans="1:9" s="4" customFormat="1" x14ac:dyDescent="0.25">
      <c r="A210" s="11" t="s">
        <v>268</v>
      </c>
      <c r="B210" s="12" t="s">
        <v>272</v>
      </c>
      <c r="C210" s="18">
        <v>1</v>
      </c>
      <c r="D210" s="14">
        <v>8850</v>
      </c>
      <c r="E210" s="15">
        <f t="shared" si="3"/>
        <v>10531.5</v>
      </c>
      <c r="F210" s="19">
        <v>20000</v>
      </c>
      <c r="I210" s="17"/>
    </row>
    <row r="211" spans="1:9" s="4" customFormat="1" x14ac:dyDescent="0.25">
      <c r="A211" s="11" t="s">
        <v>268</v>
      </c>
      <c r="B211" s="12" t="s">
        <v>273</v>
      </c>
      <c r="C211" s="18">
        <v>3</v>
      </c>
      <c r="D211" s="14">
        <v>8200</v>
      </c>
      <c r="E211" s="15">
        <f t="shared" si="3"/>
        <v>9758</v>
      </c>
      <c r="F211" s="19">
        <v>23000</v>
      </c>
      <c r="I211" s="17"/>
    </row>
    <row r="212" spans="1:9" s="4" customFormat="1" x14ac:dyDescent="0.25">
      <c r="A212" s="11" t="s">
        <v>268</v>
      </c>
      <c r="B212" s="12" t="s">
        <v>274</v>
      </c>
      <c r="C212" s="18">
        <v>2</v>
      </c>
      <c r="D212" s="14">
        <v>8100</v>
      </c>
      <c r="E212" s="15">
        <f t="shared" si="3"/>
        <v>9639</v>
      </c>
      <c r="F212" s="19">
        <v>18000</v>
      </c>
      <c r="I212" s="17"/>
    </row>
    <row r="213" spans="1:9" s="4" customFormat="1" x14ac:dyDescent="0.25">
      <c r="A213" s="11" t="s">
        <v>275</v>
      </c>
      <c r="B213" s="12" t="s">
        <v>276</v>
      </c>
      <c r="C213" s="18">
        <v>4</v>
      </c>
      <c r="D213" s="14">
        <v>11800</v>
      </c>
      <c r="E213" s="15">
        <f t="shared" si="3"/>
        <v>14042</v>
      </c>
      <c r="F213" s="19">
        <v>35000</v>
      </c>
      <c r="I213" s="17"/>
    </row>
    <row r="214" spans="1:9" s="4" customFormat="1" x14ac:dyDescent="0.25">
      <c r="A214" s="11" t="s">
        <v>268</v>
      </c>
      <c r="B214" s="12" t="s">
        <v>277</v>
      </c>
      <c r="C214" s="18">
        <v>2</v>
      </c>
      <c r="D214" s="14">
        <v>8247</v>
      </c>
      <c r="E214" s="15">
        <f t="shared" si="3"/>
        <v>9813.93</v>
      </c>
      <c r="F214" s="19">
        <v>25000</v>
      </c>
      <c r="I214" s="17"/>
    </row>
    <row r="215" spans="1:9" s="4" customFormat="1" x14ac:dyDescent="0.25">
      <c r="A215" s="28" t="s">
        <v>268</v>
      </c>
      <c r="B215" s="29" t="s">
        <v>171</v>
      </c>
      <c r="C215" s="20">
        <v>4</v>
      </c>
      <c r="D215" s="16">
        <v>11494</v>
      </c>
      <c r="E215" s="15">
        <f t="shared" si="3"/>
        <v>13677.86</v>
      </c>
      <c r="F215" s="48">
        <v>30000</v>
      </c>
      <c r="I215" s="17"/>
    </row>
    <row r="216" spans="1:9" s="4" customFormat="1" x14ac:dyDescent="0.25">
      <c r="A216" s="28" t="s">
        <v>268</v>
      </c>
      <c r="B216" s="29" t="s">
        <v>215</v>
      </c>
      <c r="C216" s="20">
        <v>3</v>
      </c>
      <c r="D216" s="16">
        <v>8150</v>
      </c>
      <c r="E216" s="15">
        <f t="shared" si="3"/>
        <v>9698.5</v>
      </c>
      <c r="F216" s="48">
        <v>16000</v>
      </c>
      <c r="I216" s="17"/>
    </row>
    <row r="217" spans="1:9" s="4" customFormat="1" x14ac:dyDescent="0.25">
      <c r="A217" s="28" t="s">
        <v>268</v>
      </c>
      <c r="B217" s="29" t="s">
        <v>278</v>
      </c>
      <c r="C217" s="20">
        <v>6</v>
      </c>
      <c r="D217" s="16">
        <v>8500</v>
      </c>
      <c r="E217" s="15">
        <f t="shared" si="3"/>
        <v>10115</v>
      </c>
      <c r="F217" s="48">
        <v>16000</v>
      </c>
      <c r="I217" s="17"/>
    </row>
    <row r="218" spans="1:9" s="4" customFormat="1" x14ac:dyDescent="0.25">
      <c r="A218" s="28" t="s">
        <v>268</v>
      </c>
      <c r="B218" s="29" t="s">
        <v>279</v>
      </c>
      <c r="C218" s="20">
        <v>5</v>
      </c>
      <c r="D218" s="16">
        <v>8557</v>
      </c>
      <c r="E218" s="15">
        <f t="shared" si="3"/>
        <v>10182.83</v>
      </c>
      <c r="F218" s="48">
        <v>17000</v>
      </c>
      <c r="I218" s="17"/>
    </row>
    <row r="219" spans="1:9" s="4" customFormat="1" x14ac:dyDescent="0.25">
      <c r="A219" s="28" t="s">
        <v>268</v>
      </c>
      <c r="B219" s="29" t="s">
        <v>280</v>
      </c>
      <c r="C219" s="27">
        <v>2</v>
      </c>
      <c r="D219" s="30">
        <v>8660</v>
      </c>
      <c r="E219" s="15">
        <f t="shared" si="3"/>
        <v>10305.4</v>
      </c>
      <c r="F219" s="19">
        <v>25000</v>
      </c>
      <c r="I219" s="17"/>
    </row>
    <row r="220" spans="1:9" s="4" customFormat="1" x14ac:dyDescent="0.25">
      <c r="A220" s="51" t="s">
        <v>281</v>
      </c>
      <c r="B220" s="52" t="s">
        <v>282</v>
      </c>
      <c r="C220" s="53">
        <v>2</v>
      </c>
      <c r="D220" s="54">
        <v>11000</v>
      </c>
      <c r="E220" s="15">
        <v>11000</v>
      </c>
      <c r="F220" s="54">
        <v>25000</v>
      </c>
      <c r="I220" s="17"/>
    </row>
    <row r="221" spans="1:9" s="4" customFormat="1" x14ac:dyDescent="0.25">
      <c r="A221" s="51" t="s">
        <v>283</v>
      </c>
      <c r="B221" s="52" t="s">
        <v>20</v>
      </c>
      <c r="C221" s="53">
        <v>3</v>
      </c>
      <c r="D221" s="54">
        <v>8763</v>
      </c>
      <c r="E221" s="15">
        <f>D221+(D221*19%)</f>
        <v>10427.969999999999</v>
      </c>
      <c r="F221" s="55">
        <v>22000</v>
      </c>
      <c r="I221" s="17"/>
    </row>
    <row r="222" spans="1:9" s="4" customFormat="1" x14ac:dyDescent="0.25">
      <c r="A222" s="56" t="s">
        <v>284</v>
      </c>
      <c r="B222" s="57" t="s">
        <v>285</v>
      </c>
      <c r="C222" s="58">
        <v>1</v>
      </c>
      <c r="D222" s="38">
        <v>0</v>
      </c>
      <c r="E222" s="15">
        <f>D222+(D222*19%)</f>
        <v>0</v>
      </c>
      <c r="F222" s="59">
        <v>70000</v>
      </c>
      <c r="G222" s="25"/>
      <c r="I222" s="17"/>
    </row>
    <row r="223" spans="1:9" s="4" customFormat="1" x14ac:dyDescent="0.25">
      <c r="A223" s="51" t="s">
        <v>286</v>
      </c>
      <c r="B223" s="52" t="s">
        <v>177</v>
      </c>
      <c r="C223" s="53">
        <v>1</v>
      </c>
      <c r="D223" s="54"/>
      <c r="E223" s="15">
        <f>D223+(D223*19%)</f>
        <v>0</v>
      </c>
      <c r="F223" s="55">
        <v>28000</v>
      </c>
      <c r="I223" s="17"/>
    </row>
    <row r="224" spans="1:9" s="4" customFormat="1" x14ac:dyDescent="0.25">
      <c r="A224" s="56" t="s">
        <v>286</v>
      </c>
      <c r="B224" s="57" t="s">
        <v>287</v>
      </c>
      <c r="C224" s="58">
        <v>1</v>
      </c>
      <c r="D224" s="38">
        <v>22500</v>
      </c>
      <c r="E224" s="15">
        <f>D224+(D224*19%)</f>
        <v>26775</v>
      </c>
      <c r="F224" s="59">
        <v>35000</v>
      </c>
      <c r="G224" s="25"/>
    </row>
    <row r="225" spans="1:9" s="4" customFormat="1" x14ac:dyDescent="0.25">
      <c r="A225" s="51" t="s">
        <v>288</v>
      </c>
      <c r="B225" s="52" t="s">
        <v>113</v>
      </c>
      <c r="C225" s="53">
        <v>1</v>
      </c>
      <c r="D225" s="54">
        <v>12000</v>
      </c>
      <c r="E225" s="15">
        <v>12000</v>
      </c>
      <c r="F225" s="55">
        <v>22500</v>
      </c>
      <c r="G225" s="25"/>
      <c r="I225" s="17"/>
    </row>
    <row r="226" spans="1:9" s="4" customFormat="1" x14ac:dyDescent="0.25">
      <c r="A226" s="51" t="s">
        <v>289</v>
      </c>
      <c r="B226" s="52" t="s">
        <v>290</v>
      </c>
      <c r="C226" s="60">
        <v>8</v>
      </c>
      <c r="D226" s="61">
        <v>3200</v>
      </c>
      <c r="E226" s="61">
        <v>3200</v>
      </c>
      <c r="F226" s="61">
        <v>8000</v>
      </c>
      <c r="I226" s="17"/>
    </row>
    <row r="227" spans="1:9" s="4" customFormat="1" x14ac:dyDescent="0.25">
      <c r="A227" s="51" t="s">
        <v>289</v>
      </c>
      <c r="B227" s="52" t="s">
        <v>291</v>
      </c>
      <c r="C227" s="60">
        <v>4</v>
      </c>
      <c r="D227" s="61">
        <v>3750</v>
      </c>
      <c r="E227" s="61">
        <v>3750</v>
      </c>
      <c r="F227" s="61">
        <v>8500</v>
      </c>
      <c r="I227" s="17"/>
    </row>
    <row r="228" spans="1:9" s="4" customFormat="1" x14ac:dyDescent="0.25">
      <c r="A228" s="62" t="s">
        <v>292</v>
      </c>
      <c r="B228" s="57" t="s">
        <v>293</v>
      </c>
      <c r="C228" s="58">
        <v>12</v>
      </c>
      <c r="D228" s="38">
        <v>6200</v>
      </c>
      <c r="E228" s="63">
        <f t="shared" ref="E228:E251" si="4">D228+(D228*19%)</f>
        <v>7378</v>
      </c>
      <c r="F228" s="59">
        <v>11000</v>
      </c>
      <c r="G228" s="4">
        <f>(D228*2)</f>
        <v>12400</v>
      </c>
      <c r="I228" s="17"/>
    </row>
    <row r="229" spans="1:9" s="4" customFormat="1" x14ac:dyDescent="0.25">
      <c r="A229" s="56" t="s">
        <v>294</v>
      </c>
      <c r="B229" s="57" t="s">
        <v>295</v>
      </c>
      <c r="C229" s="58">
        <v>10</v>
      </c>
      <c r="D229" s="38">
        <v>4109</v>
      </c>
      <c r="E229" s="63">
        <f t="shared" si="4"/>
        <v>4889.71</v>
      </c>
      <c r="F229" s="59">
        <v>11000</v>
      </c>
      <c r="G229" s="25">
        <f>(E229*4)</f>
        <v>19558.84</v>
      </c>
      <c r="I229" s="17"/>
    </row>
    <row r="230" spans="1:9" s="4" customFormat="1" x14ac:dyDescent="0.25">
      <c r="A230" s="64" t="s">
        <v>296</v>
      </c>
      <c r="B230" s="65" t="s">
        <v>115</v>
      </c>
      <c r="C230" s="60">
        <v>6</v>
      </c>
      <c r="D230" s="66">
        <v>4742</v>
      </c>
      <c r="E230" s="15">
        <f t="shared" si="4"/>
        <v>5642.98</v>
      </c>
      <c r="F230" s="67">
        <v>12000</v>
      </c>
      <c r="I230" s="17"/>
    </row>
    <row r="231" spans="1:9" s="4" customFormat="1" x14ac:dyDescent="0.25">
      <c r="A231" s="62" t="s">
        <v>297</v>
      </c>
      <c r="B231" s="57" t="s">
        <v>249</v>
      </c>
      <c r="C231" s="58">
        <v>10</v>
      </c>
      <c r="D231" s="38">
        <v>5150</v>
      </c>
      <c r="E231" s="15">
        <f t="shared" si="4"/>
        <v>6128.5</v>
      </c>
      <c r="F231" s="59">
        <v>11000</v>
      </c>
      <c r="I231" s="17"/>
    </row>
    <row r="232" spans="1:9" s="4" customFormat="1" x14ac:dyDescent="0.25">
      <c r="A232" s="62" t="s">
        <v>298</v>
      </c>
      <c r="B232" s="57" t="s">
        <v>290</v>
      </c>
      <c r="C232" s="58">
        <v>10</v>
      </c>
      <c r="D232" s="61">
        <v>4564</v>
      </c>
      <c r="E232" s="15">
        <f t="shared" si="4"/>
        <v>5431.16</v>
      </c>
      <c r="F232" s="59">
        <v>10000</v>
      </c>
      <c r="I232" s="17"/>
    </row>
    <row r="233" spans="1:9" s="4" customFormat="1" x14ac:dyDescent="0.25">
      <c r="A233" s="62" t="s">
        <v>298</v>
      </c>
      <c r="B233" s="57" t="s">
        <v>299</v>
      </c>
      <c r="C233" s="58">
        <v>10</v>
      </c>
      <c r="D233" s="38">
        <v>6700</v>
      </c>
      <c r="E233" s="15">
        <f t="shared" si="4"/>
        <v>7973</v>
      </c>
      <c r="F233" s="59">
        <v>11000</v>
      </c>
      <c r="I233" s="17"/>
    </row>
    <row r="234" spans="1:9" s="4" customFormat="1" x14ac:dyDescent="0.25">
      <c r="A234" s="62" t="s">
        <v>298</v>
      </c>
      <c r="B234" s="57" t="s">
        <v>179</v>
      </c>
      <c r="C234" s="58">
        <v>7</v>
      </c>
      <c r="D234" s="38">
        <v>4948</v>
      </c>
      <c r="E234" s="15">
        <f t="shared" si="4"/>
        <v>5888.12</v>
      </c>
      <c r="F234" s="59">
        <v>11000</v>
      </c>
      <c r="I234" s="17"/>
    </row>
    <row r="235" spans="1:9" s="4" customFormat="1" x14ac:dyDescent="0.25">
      <c r="A235" s="62" t="s">
        <v>300</v>
      </c>
      <c r="B235" s="57" t="s">
        <v>246</v>
      </c>
      <c r="C235" s="58">
        <v>9</v>
      </c>
      <c r="D235" s="38">
        <v>5412</v>
      </c>
      <c r="E235" s="15">
        <f t="shared" si="4"/>
        <v>6440.28</v>
      </c>
      <c r="F235" s="59">
        <v>10000</v>
      </c>
      <c r="I235" s="17"/>
    </row>
    <row r="236" spans="1:9" s="4" customFormat="1" ht="30" x14ac:dyDescent="0.25">
      <c r="A236" s="62" t="s">
        <v>301</v>
      </c>
      <c r="B236" s="57" t="s">
        <v>302</v>
      </c>
      <c r="C236" s="58">
        <v>6</v>
      </c>
      <c r="D236" s="38">
        <v>5515</v>
      </c>
      <c r="E236" s="15">
        <f t="shared" si="4"/>
        <v>6562.85</v>
      </c>
      <c r="F236" s="59">
        <v>12000</v>
      </c>
      <c r="I236" s="17"/>
    </row>
    <row r="237" spans="1:9" s="4" customFormat="1" x14ac:dyDescent="0.25">
      <c r="A237" s="62" t="s">
        <v>303</v>
      </c>
      <c r="B237" s="57" t="s">
        <v>304</v>
      </c>
      <c r="C237" s="58">
        <v>10</v>
      </c>
      <c r="D237" s="38">
        <v>5350</v>
      </c>
      <c r="E237" s="15">
        <f t="shared" si="4"/>
        <v>6366.5</v>
      </c>
      <c r="F237" s="59">
        <v>11000</v>
      </c>
      <c r="I237" s="17"/>
    </row>
    <row r="238" spans="1:9" s="4" customFormat="1" x14ac:dyDescent="0.25">
      <c r="A238" s="64" t="s">
        <v>305</v>
      </c>
      <c r="B238" s="68" t="s">
        <v>306</v>
      </c>
      <c r="C238" s="60">
        <v>5</v>
      </c>
      <c r="D238" s="66">
        <v>5670</v>
      </c>
      <c r="E238" s="15">
        <f t="shared" si="4"/>
        <v>6747.3</v>
      </c>
      <c r="F238" s="67">
        <v>14000</v>
      </c>
      <c r="I238" s="17"/>
    </row>
    <row r="239" spans="1:9" s="4" customFormat="1" x14ac:dyDescent="0.25">
      <c r="A239" s="64" t="s">
        <v>307</v>
      </c>
      <c r="B239" s="65" t="s">
        <v>115</v>
      </c>
      <c r="C239" s="60">
        <v>6</v>
      </c>
      <c r="D239" s="66">
        <v>5000</v>
      </c>
      <c r="E239" s="15">
        <f t="shared" si="4"/>
        <v>5950</v>
      </c>
      <c r="F239" s="67">
        <v>12000</v>
      </c>
      <c r="I239" s="17"/>
    </row>
    <row r="240" spans="1:9" s="4" customFormat="1" x14ac:dyDescent="0.25">
      <c r="A240" s="62" t="s">
        <v>308</v>
      </c>
      <c r="B240" s="57" t="s">
        <v>179</v>
      </c>
      <c r="C240" s="58">
        <v>8</v>
      </c>
      <c r="D240" s="38">
        <v>4948</v>
      </c>
      <c r="E240" s="15">
        <f t="shared" si="4"/>
        <v>5888.12</v>
      </c>
      <c r="F240" s="59">
        <v>11000</v>
      </c>
      <c r="H240" s="4" t="s">
        <v>309</v>
      </c>
      <c r="I240" s="17"/>
    </row>
    <row r="241" spans="1:9" s="4" customFormat="1" x14ac:dyDescent="0.25">
      <c r="A241" s="64" t="s">
        <v>310</v>
      </c>
      <c r="B241" s="65" t="s">
        <v>115</v>
      </c>
      <c r="C241" s="60">
        <v>6</v>
      </c>
      <c r="D241" s="66">
        <v>4742</v>
      </c>
      <c r="E241" s="15">
        <f t="shared" si="4"/>
        <v>5642.98</v>
      </c>
      <c r="F241" s="67">
        <v>12000</v>
      </c>
      <c r="I241" s="17"/>
    </row>
    <row r="242" spans="1:9" s="4" customFormat="1" x14ac:dyDescent="0.25">
      <c r="A242" s="62" t="s">
        <v>311</v>
      </c>
      <c r="B242" s="57" t="s">
        <v>249</v>
      </c>
      <c r="C242" s="58">
        <v>10</v>
      </c>
      <c r="D242" s="38">
        <v>5515</v>
      </c>
      <c r="E242" s="15">
        <f t="shared" si="4"/>
        <v>6562.85</v>
      </c>
      <c r="F242" s="59">
        <v>11000</v>
      </c>
      <c r="G242" s="25"/>
      <c r="H242" s="25"/>
      <c r="I242" s="17"/>
    </row>
    <row r="243" spans="1:9" s="4" customFormat="1" x14ac:dyDescent="0.25">
      <c r="A243" s="56" t="s">
        <v>312</v>
      </c>
      <c r="B243" s="57" t="s">
        <v>313</v>
      </c>
      <c r="C243" s="58">
        <v>9</v>
      </c>
      <c r="D243" s="38">
        <v>5928</v>
      </c>
      <c r="E243" s="15">
        <f t="shared" si="4"/>
        <v>7054.32</v>
      </c>
      <c r="F243" s="59">
        <v>11000</v>
      </c>
      <c r="G243" s="25"/>
      <c r="I243" s="17"/>
    </row>
    <row r="244" spans="1:9" s="4" customFormat="1" x14ac:dyDescent="0.25">
      <c r="A244" s="62" t="s">
        <v>312</v>
      </c>
      <c r="B244" s="57" t="s">
        <v>290</v>
      </c>
      <c r="C244" s="58">
        <v>8</v>
      </c>
      <c r="D244" s="61">
        <v>4564</v>
      </c>
      <c r="E244" s="15">
        <f t="shared" si="4"/>
        <v>5431.16</v>
      </c>
      <c r="F244" s="59">
        <v>10000</v>
      </c>
      <c r="G244" s="25"/>
      <c r="I244" s="17"/>
    </row>
    <row r="245" spans="1:9" s="4" customFormat="1" x14ac:dyDescent="0.25">
      <c r="A245" s="62" t="s">
        <v>312</v>
      </c>
      <c r="B245" s="57" t="s">
        <v>299</v>
      </c>
      <c r="C245" s="58">
        <v>9</v>
      </c>
      <c r="D245" s="38">
        <v>6289</v>
      </c>
      <c r="E245" s="15">
        <f t="shared" si="4"/>
        <v>7483.91</v>
      </c>
      <c r="F245" s="59">
        <v>11000</v>
      </c>
      <c r="I245" s="17"/>
    </row>
    <row r="246" spans="1:9" x14ac:dyDescent="0.25">
      <c r="A246" s="28" t="s">
        <v>314</v>
      </c>
      <c r="B246" s="29" t="s">
        <v>246</v>
      </c>
      <c r="C246" s="58">
        <v>10</v>
      </c>
      <c r="D246" s="30">
        <v>5412</v>
      </c>
      <c r="E246" s="15">
        <f t="shared" si="4"/>
        <v>6440.28</v>
      </c>
      <c r="F246" s="48">
        <v>10000</v>
      </c>
      <c r="G246" s="4"/>
      <c r="I246" s="69"/>
    </row>
    <row r="247" spans="1:9" x14ac:dyDescent="0.25">
      <c r="A247" s="62" t="s">
        <v>314</v>
      </c>
      <c r="B247" s="57" t="s">
        <v>290</v>
      </c>
      <c r="C247" s="58">
        <v>10</v>
      </c>
      <c r="D247" s="61">
        <v>4564</v>
      </c>
      <c r="E247" s="15">
        <f t="shared" si="4"/>
        <v>5431.16</v>
      </c>
      <c r="F247" s="59">
        <v>10000</v>
      </c>
      <c r="G247" s="25"/>
      <c r="I247" s="69"/>
    </row>
    <row r="248" spans="1:9" ht="30" x14ac:dyDescent="0.25">
      <c r="A248" s="62" t="s">
        <v>314</v>
      </c>
      <c r="B248" s="57" t="s">
        <v>302</v>
      </c>
      <c r="C248" s="58">
        <v>8</v>
      </c>
      <c r="D248" s="38">
        <v>5515</v>
      </c>
      <c r="E248" s="15">
        <f t="shared" si="4"/>
        <v>6562.85</v>
      </c>
      <c r="F248" s="59">
        <v>12000</v>
      </c>
      <c r="G248" s="4"/>
      <c r="I248" s="69"/>
    </row>
    <row r="249" spans="1:9" x14ac:dyDescent="0.25">
      <c r="A249" s="62" t="s">
        <v>315</v>
      </c>
      <c r="B249" s="57" t="s">
        <v>304</v>
      </c>
      <c r="C249" s="58">
        <v>10</v>
      </c>
      <c r="D249" s="38">
        <v>5350</v>
      </c>
      <c r="E249" s="15">
        <f t="shared" si="4"/>
        <v>6366.5</v>
      </c>
      <c r="F249" s="59">
        <v>10000</v>
      </c>
      <c r="G249" s="4"/>
      <c r="I249" s="69"/>
    </row>
    <row r="250" spans="1:9" x14ac:dyDescent="0.25">
      <c r="A250" s="64" t="s">
        <v>316</v>
      </c>
      <c r="B250" s="65" t="s">
        <v>317</v>
      </c>
      <c r="C250" s="60">
        <v>7</v>
      </c>
      <c r="D250" s="66">
        <v>5600</v>
      </c>
      <c r="E250" s="15">
        <f t="shared" si="4"/>
        <v>6664</v>
      </c>
      <c r="F250" s="67">
        <v>14000</v>
      </c>
      <c r="G250" s="4"/>
      <c r="I250" s="69"/>
    </row>
    <row r="251" spans="1:9" x14ac:dyDescent="0.25">
      <c r="A251" s="62" t="s">
        <v>318</v>
      </c>
      <c r="B251" s="57" t="s">
        <v>319</v>
      </c>
      <c r="C251" s="58">
        <v>10</v>
      </c>
      <c r="D251" s="38">
        <v>6500</v>
      </c>
      <c r="E251" s="15">
        <f t="shared" si="4"/>
        <v>7735</v>
      </c>
      <c r="F251" s="59">
        <v>12000</v>
      </c>
      <c r="G251" s="4"/>
      <c r="I251" s="69"/>
    </row>
    <row r="252" spans="1:9" x14ac:dyDescent="0.25">
      <c r="A252" s="56" t="s">
        <v>320</v>
      </c>
      <c r="B252" s="70" t="s">
        <v>321</v>
      </c>
      <c r="C252" s="60">
        <v>6</v>
      </c>
      <c r="D252" s="71">
        <v>7500</v>
      </c>
      <c r="E252" s="72">
        <v>7500</v>
      </c>
      <c r="F252" s="71">
        <v>20000</v>
      </c>
      <c r="G252" s="4"/>
      <c r="I252" s="69"/>
    </row>
    <row r="253" spans="1:9" x14ac:dyDescent="0.25">
      <c r="A253" s="62" t="s">
        <v>322</v>
      </c>
      <c r="B253" s="57" t="s">
        <v>319</v>
      </c>
      <c r="C253" s="58">
        <v>10</v>
      </c>
      <c r="D253" s="38">
        <v>6500</v>
      </c>
      <c r="E253" s="15">
        <f>D253+(D253*19%)</f>
        <v>7735</v>
      </c>
      <c r="F253" s="59">
        <v>12000</v>
      </c>
      <c r="G253" s="4"/>
      <c r="I253" s="69"/>
    </row>
    <row r="254" spans="1:9" x14ac:dyDescent="0.25">
      <c r="A254" s="56" t="s">
        <v>323</v>
      </c>
      <c r="B254" s="57" t="s">
        <v>324</v>
      </c>
      <c r="C254" s="58">
        <v>12</v>
      </c>
      <c r="D254" s="38">
        <f>(7750*2)</f>
        <v>15500</v>
      </c>
      <c r="E254" s="15">
        <f>D254+(D254*19%)</f>
        <v>18445</v>
      </c>
      <c r="F254" s="59">
        <v>25000</v>
      </c>
      <c r="G254" s="4"/>
      <c r="I254" s="69"/>
    </row>
    <row r="255" spans="1:9" x14ac:dyDescent="0.25">
      <c r="A255" s="56" t="s">
        <v>325</v>
      </c>
      <c r="B255" s="70" t="s">
        <v>321</v>
      </c>
      <c r="C255" s="60">
        <v>1</v>
      </c>
      <c r="D255" s="71">
        <v>7500</v>
      </c>
      <c r="E255" s="72">
        <v>7500</v>
      </c>
      <c r="F255" s="71">
        <v>20000</v>
      </c>
      <c r="G255" s="4"/>
      <c r="I255" s="69"/>
    </row>
    <row r="256" spans="1:9" x14ac:dyDescent="0.25">
      <c r="A256" s="56" t="s">
        <v>326</v>
      </c>
      <c r="B256" s="70" t="s">
        <v>321</v>
      </c>
      <c r="C256" s="60">
        <v>9</v>
      </c>
      <c r="D256" s="71">
        <v>8000</v>
      </c>
      <c r="E256" s="72">
        <v>8000</v>
      </c>
      <c r="F256" s="71">
        <v>20000</v>
      </c>
      <c r="G256" s="4"/>
      <c r="I256" s="69"/>
    </row>
    <row r="257" spans="1:9" x14ac:dyDescent="0.25">
      <c r="A257" s="51" t="s">
        <v>327</v>
      </c>
      <c r="B257" s="52" t="s">
        <v>33</v>
      </c>
      <c r="C257" s="53">
        <v>5</v>
      </c>
      <c r="D257" s="54">
        <v>7000</v>
      </c>
      <c r="E257" s="15">
        <v>7000</v>
      </c>
      <c r="F257" s="54">
        <v>18000</v>
      </c>
      <c r="G257" s="4"/>
      <c r="I257" s="69"/>
    </row>
    <row r="258" spans="1:9" x14ac:dyDescent="0.25">
      <c r="A258" s="62" t="s">
        <v>328</v>
      </c>
      <c r="B258" s="57" t="s">
        <v>329</v>
      </c>
      <c r="C258" s="58">
        <v>10</v>
      </c>
      <c r="D258" s="38">
        <v>5144</v>
      </c>
      <c r="E258" s="15">
        <f t="shared" ref="E258:E270" si="5">D258+(D258*19%)</f>
        <v>6121.36</v>
      </c>
      <c r="F258" s="59">
        <v>12000</v>
      </c>
      <c r="G258" s="4"/>
      <c r="I258" s="69"/>
    </row>
    <row r="259" spans="1:9" x14ac:dyDescent="0.25">
      <c r="A259" s="28" t="s">
        <v>330</v>
      </c>
      <c r="B259" s="29" t="s">
        <v>249</v>
      </c>
      <c r="C259" s="27">
        <v>10</v>
      </c>
      <c r="D259" s="30">
        <v>5515</v>
      </c>
      <c r="E259" s="15">
        <f t="shared" si="5"/>
        <v>6562.85</v>
      </c>
      <c r="F259" s="48">
        <v>11000</v>
      </c>
      <c r="G259" s="4"/>
      <c r="I259" s="69"/>
    </row>
    <row r="260" spans="1:9" x14ac:dyDescent="0.25">
      <c r="A260" s="62" t="s">
        <v>331</v>
      </c>
      <c r="B260" s="57" t="s">
        <v>332</v>
      </c>
      <c r="C260" s="58">
        <v>9</v>
      </c>
      <c r="D260" s="38">
        <v>11050</v>
      </c>
      <c r="E260" s="15">
        <f t="shared" si="5"/>
        <v>13149.5</v>
      </c>
      <c r="F260" s="59">
        <v>21000</v>
      </c>
      <c r="G260" s="4"/>
      <c r="I260" s="69"/>
    </row>
    <row r="261" spans="1:9" x14ac:dyDescent="0.25">
      <c r="A261" s="62" t="s">
        <v>333</v>
      </c>
      <c r="B261" s="57" t="s">
        <v>334</v>
      </c>
      <c r="C261" s="58">
        <v>4</v>
      </c>
      <c r="D261" s="38">
        <v>6300</v>
      </c>
      <c r="E261" s="15">
        <f t="shared" si="5"/>
        <v>7497</v>
      </c>
      <c r="F261" s="59">
        <v>11000</v>
      </c>
      <c r="G261" s="4"/>
      <c r="I261" s="69"/>
    </row>
    <row r="262" spans="1:9" x14ac:dyDescent="0.25">
      <c r="A262" s="62" t="s">
        <v>335</v>
      </c>
      <c r="B262" s="57" t="s">
        <v>336</v>
      </c>
      <c r="C262" s="58">
        <v>3</v>
      </c>
      <c r="D262" s="38">
        <v>5500</v>
      </c>
      <c r="E262" s="15">
        <f t="shared" si="5"/>
        <v>6545</v>
      </c>
      <c r="F262" s="59">
        <v>11000</v>
      </c>
      <c r="G262" s="4"/>
      <c r="I262" s="69"/>
    </row>
    <row r="263" spans="1:9" x14ac:dyDescent="0.25">
      <c r="A263" s="56" t="s">
        <v>337</v>
      </c>
      <c r="B263" s="57" t="s">
        <v>338</v>
      </c>
      <c r="C263" s="58">
        <v>10</v>
      </c>
      <c r="D263" s="38">
        <v>4300</v>
      </c>
      <c r="E263" s="15">
        <f t="shared" si="5"/>
        <v>5117</v>
      </c>
      <c r="F263" s="59">
        <v>11000</v>
      </c>
      <c r="G263" s="4"/>
      <c r="I263" s="69"/>
    </row>
    <row r="264" spans="1:9" x14ac:dyDescent="0.25">
      <c r="A264" s="56" t="s">
        <v>339</v>
      </c>
      <c r="B264" s="57" t="s">
        <v>313</v>
      </c>
      <c r="C264" s="58">
        <v>9</v>
      </c>
      <c r="D264" s="38">
        <v>5928</v>
      </c>
      <c r="E264" s="15">
        <f t="shared" si="5"/>
        <v>7054.32</v>
      </c>
      <c r="F264" s="59">
        <v>11000</v>
      </c>
      <c r="G264" s="4"/>
      <c r="I264" s="69"/>
    </row>
    <row r="265" spans="1:9" x14ac:dyDescent="0.25">
      <c r="A265" s="62" t="s">
        <v>340</v>
      </c>
      <c r="B265" s="57" t="s">
        <v>249</v>
      </c>
      <c r="C265" s="58">
        <v>10</v>
      </c>
      <c r="D265" s="61">
        <v>5206</v>
      </c>
      <c r="E265" s="15">
        <f t="shared" si="5"/>
        <v>6195.14</v>
      </c>
      <c r="F265" s="59">
        <v>11000</v>
      </c>
      <c r="G265" s="4"/>
      <c r="I265" s="69"/>
    </row>
    <row r="266" spans="1:9" x14ac:dyDescent="0.25">
      <c r="A266" s="51" t="s">
        <v>341</v>
      </c>
      <c r="B266" s="52" t="s">
        <v>342</v>
      </c>
      <c r="C266" s="53">
        <v>2</v>
      </c>
      <c r="D266" s="54">
        <v>6250</v>
      </c>
      <c r="E266" s="15">
        <f t="shared" si="5"/>
        <v>7437.5</v>
      </c>
      <c r="F266" s="61">
        <v>20000</v>
      </c>
      <c r="G266" s="4"/>
      <c r="I266" s="69"/>
    </row>
    <row r="267" spans="1:9" x14ac:dyDescent="0.25">
      <c r="A267" s="51" t="s">
        <v>341</v>
      </c>
      <c r="B267" s="52" t="s">
        <v>179</v>
      </c>
      <c r="C267" s="53">
        <v>2</v>
      </c>
      <c r="D267" s="54">
        <v>8763</v>
      </c>
      <c r="E267" s="15">
        <f t="shared" si="5"/>
        <v>10427.969999999999</v>
      </c>
      <c r="F267" s="61">
        <v>20000</v>
      </c>
      <c r="G267" s="4"/>
      <c r="I267" s="69"/>
    </row>
    <row r="268" spans="1:9" x14ac:dyDescent="0.25">
      <c r="A268" s="62" t="s">
        <v>343</v>
      </c>
      <c r="B268" s="57" t="s">
        <v>191</v>
      </c>
      <c r="C268" s="58">
        <v>6</v>
      </c>
      <c r="D268" s="38">
        <v>7216</v>
      </c>
      <c r="E268" s="15">
        <f t="shared" si="5"/>
        <v>8587.0400000000009</v>
      </c>
      <c r="F268" s="59">
        <v>20000</v>
      </c>
      <c r="G268" s="4"/>
      <c r="H268" s="73"/>
      <c r="I268" s="69"/>
    </row>
    <row r="269" spans="1:9" x14ac:dyDescent="0.25">
      <c r="A269" s="62" t="s">
        <v>343</v>
      </c>
      <c r="B269" s="57" t="s">
        <v>344</v>
      </c>
      <c r="C269" s="58">
        <v>7</v>
      </c>
      <c r="D269" s="38">
        <v>7400</v>
      </c>
      <c r="E269" s="15">
        <f t="shared" si="5"/>
        <v>8806</v>
      </c>
      <c r="F269" s="59">
        <v>20000</v>
      </c>
      <c r="G269" s="4"/>
      <c r="I269" s="69"/>
    </row>
    <row r="270" spans="1:9" ht="30" x14ac:dyDescent="0.25">
      <c r="A270" s="62" t="s">
        <v>343</v>
      </c>
      <c r="B270" s="57" t="s">
        <v>345</v>
      </c>
      <c r="C270" s="58">
        <v>5</v>
      </c>
      <c r="D270" s="38">
        <v>7320</v>
      </c>
      <c r="E270" s="15">
        <f t="shared" si="5"/>
        <v>8710.7999999999993</v>
      </c>
      <c r="F270" s="59">
        <v>20000</v>
      </c>
      <c r="G270" s="74"/>
      <c r="I270" s="69"/>
    </row>
    <row r="271" spans="1:9" ht="30" x14ac:dyDescent="0.25">
      <c r="A271" s="62" t="s">
        <v>346</v>
      </c>
      <c r="B271" s="57" t="s">
        <v>345</v>
      </c>
      <c r="C271" s="58">
        <v>3</v>
      </c>
      <c r="D271" s="38">
        <v>11000</v>
      </c>
      <c r="E271" s="15">
        <v>11000</v>
      </c>
      <c r="F271" s="59">
        <v>30000</v>
      </c>
      <c r="G271" s="4"/>
      <c r="I271" s="69"/>
    </row>
    <row r="272" spans="1:9" x14ac:dyDescent="0.25">
      <c r="A272" s="51" t="s">
        <v>347</v>
      </c>
      <c r="B272" s="52" t="s">
        <v>126</v>
      </c>
      <c r="C272" s="53">
        <v>1</v>
      </c>
      <c r="D272" s="54">
        <v>47539</v>
      </c>
      <c r="E272" s="15">
        <f t="shared" ref="E272:E285" si="6">D272+(D272*19%)</f>
        <v>56571.41</v>
      </c>
      <c r="F272" s="55">
        <v>87000</v>
      </c>
      <c r="G272" s="4"/>
      <c r="I272" s="69"/>
    </row>
    <row r="273" spans="1:9" x14ac:dyDescent="0.25">
      <c r="A273" s="51" t="s">
        <v>348</v>
      </c>
      <c r="B273" s="52" t="s">
        <v>12</v>
      </c>
      <c r="C273" s="53">
        <v>2</v>
      </c>
      <c r="D273" s="54">
        <v>31500</v>
      </c>
      <c r="E273" s="15">
        <f t="shared" si="6"/>
        <v>37485</v>
      </c>
      <c r="F273" s="55">
        <v>64000</v>
      </c>
      <c r="G273" s="4"/>
      <c r="I273" s="69"/>
    </row>
    <row r="274" spans="1:9" x14ac:dyDescent="0.25">
      <c r="A274" s="51" t="s">
        <v>348</v>
      </c>
      <c r="B274" s="52" t="s">
        <v>349</v>
      </c>
      <c r="C274" s="53">
        <v>1</v>
      </c>
      <c r="D274" s="54">
        <v>32800</v>
      </c>
      <c r="E274" s="15">
        <f t="shared" si="6"/>
        <v>39032</v>
      </c>
      <c r="F274" s="55">
        <v>68000</v>
      </c>
      <c r="G274" s="17"/>
      <c r="I274" s="69"/>
    </row>
    <row r="275" spans="1:9" x14ac:dyDescent="0.25">
      <c r="A275" s="51" t="s">
        <v>348</v>
      </c>
      <c r="B275" s="52" t="s">
        <v>350</v>
      </c>
      <c r="C275" s="53">
        <v>1</v>
      </c>
      <c r="D275" s="54">
        <v>34091</v>
      </c>
      <c r="E275" s="15">
        <f t="shared" si="6"/>
        <v>40568.29</v>
      </c>
      <c r="F275" s="55">
        <v>68000</v>
      </c>
      <c r="G275" s="17"/>
      <c r="I275" s="69"/>
    </row>
    <row r="276" spans="1:9" x14ac:dyDescent="0.25">
      <c r="A276" s="51" t="s">
        <v>348</v>
      </c>
      <c r="B276" s="52" t="s">
        <v>351</v>
      </c>
      <c r="C276" s="53">
        <v>2</v>
      </c>
      <c r="D276" s="54">
        <v>50888</v>
      </c>
      <c r="E276" s="15">
        <f t="shared" si="6"/>
        <v>60556.72</v>
      </c>
      <c r="F276" s="55">
        <v>90000</v>
      </c>
      <c r="G276" s="17"/>
      <c r="I276" s="69"/>
    </row>
    <row r="277" spans="1:9" x14ac:dyDescent="0.25">
      <c r="A277" s="51" t="s">
        <v>348</v>
      </c>
      <c r="B277" s="52" t="s">
        <v>352</v>
      </c>
      <c r="C277" s="53">
        <v>1</v>
      </c>
      <c r="D277" s="54">
        <v>35052</v>
      </c>
      <c r="E277" s="15">
        <f t="shared" si="6"/>
        <v>41711.879999999997</v>
      </c>
      <c r="F277" s="55">
        <v>68000</v>
      </c>
      <c r="G277" s="4"/>
      <c r="I277" s="69"/>
    </row>
    <row r="278" spans="1:9" x14ac:dyDescent="0.25">
      <c r="A278" s="51" t="s">
        <v>353</v>
      </c>
      <c r="B278" s="52" t="s">
        <v>351</v>
      </c>
      <c r="C278" s="53">
        <v>2</v>
      </c>
      <c r="D278" s="54">
        <v>33026</v>
      </c>
      <c r="E278" s="15">
        <f t="shared" si="6"/>
        <v>39300.94</v>
      </c>
      <c r="F278" s="55">
        <v>80000</v>
      </c>
      <c r="G278" s="4"/>
      <c r="I278" s="69"/>
    </row>
    <row r="279" spans="1:9" x14ac:dyDescent="0.25">
      <c r="A279" s="56" t="s">
        <v>354</v>
      </c>
      <c r="B279" s="70" t="s">
        <v>67</v>
      </c>
      <c r="C279" s="60">
        <v>4</v>
      </c>
      <c r="D279" s="71">
        <v>8400</v>
      </c>
      <c r="E279" s="15">
        <f t="shared" si="6"/>
        <v>9996</v>
      </c>
      <c r="F279" s="71">
        <v>20000</v>
      </c>
      <c r="G279" s="4"/>
      <c r="I279" s="69"/>
    </row>
    <row r="280" spans="1:9" x14ac:dyDescent="0.25">
      <c r="A280" s="56" t="s">
        <v>355</v>
      </c>
      <c r="B280" s="70" t="s">
        <v>247</v>
      </c>
      <c r="C280" s="60">
        <v>10</v>
      </c>
      <c r="D280" s="71">
        <v>16701</v>
      </c>
      <c r="E280" s="15">
        <f t="shared" si="6"/>
        <v>19874.189999999999</v>
      </c>
      <c r="F280" s="71">
        <v>30000</v>
      </c>
      <c r="G280" s="4"/>
      <c r="I280" s="69"/>
    </row>
    <row r="281" spans="1:9" ht="30" x14ac:dyDescent="0.25">
      <c r="A281" s="56" t="s">
        <v>356</v>
      </c>
      <c r="B281" s="70" t="s">
        <v>357</v>
      </c>
      <c r="C281" s="75" t="s">
        <v>8</v>
      </c>
      <c r="D281" s="71">
        <v>12268</v>
      </c>
      <c r="E281" s="15">
        <f t="shared" si="6"/>
        <v>14598.92</v>
      </c>
      <c r="F281" s="71">
        <v>22000</v>
      </c>
      <c r="G281" s="4"/>
      <c r="I281" s="69"/>
    </row>
    <row r="282" spans="1:9" x14ac:dyDescent="0.25">
      <c r="A282" s="56" t="s">
        <v>358</v>
      </c>
      <c r="B282" s="70" t="s">
        <v>359</v>
      </c>
      <c r="C282" s="60">
        <v>5</v>
      </c>
      <c r="D282" s="71">
        <v>9625</v>
      </c>
      <c r="E282" s="15">
        <f t="shared" si="6"/>
        <v>11453.75</v>
      </c>
      <c r="F282" s="71">
        <v>20000</v>
      </c>
      <c r="G282" s="4"/>
      <c r="I282" s="69"/>
    </row>
    <row r="283" spans="1:9" x14ac:dyDescent="0.25">
      <c r="A283" s="56" t="s">
        <v>358</v>
      </c>
      <c r="B283" s="70" t="s">
        <v>360</v>
      </c>
      <c r="C283" s="60">
        <v>2</v>
      </c>
      <c r="D283" s="71">
        <v>11030</v>
      </c>
      <c r="E283" s="15">
        <f t="shared" si="6"/>
        <v>13125.7</v>
      </c>
      <c r="F283" s="71">
        <v>22000</v>
      </c>
      <c r="G283" s="4">
        <f>(E283*4)</f>
        <v>52502.8</v>
      </c>
      <c r="I283" s="69"/>
    </row>
    <row r="284" spans="1:9" x14ac:dyDescent="0.25">
      <c r="A284" s="56" t="s">
        <v>358</v>
      </c>
      <c r="B284" s="70" t="s">
        <v>361</v>
      </c>
      <c r="C284" s="60">
        <v>4</v>
      </c>
      <c r="D284" s="71">
        <v>8860</v>
      </c>
      <c r="E284" s="15">
        <f t="shared" si="6"/>
        <v>10543.4</v>
      </c>
      <c r="F284" s="71">
        <v>18000</v>
      </c>
      <c r="G284" s="4"/>
      <c r="I284" s="69"/>
    </row>
    <row r="285" spans="1:9" x14ac:dyDescent="0.25">
      <c r="A285" s="51" t="s">
        <v>362</v>
      </c>
      <c r="B285" s="52" t="s">
        <v>363</v>
      </c>
      <c r="C285" s="53">
        <v>3</v>
      </c>
      <c r="D285" s="54">
        <v>17580</v>
      </c>
      <c r="E285" s="15">
        <f t="shared" si="6"/>
        <v>20920.2</v>
      </c>
      <c r="F285" s="61">
        <v>30000</v>
      </c>
      <c r="G285" s="17"/>
      <c r="I285" s="69"/>
    </row>
    <row r="286" spans="1:9" x14ac:dyDescent="0.25">
      <c r="A286" s="62" t="s">
        <v>364</v>
      </c>
      <c r="B286" s="57" t="s">
        <v>365</v>
      </c>
      <c r="C286" s="53">
        <v>1</v>
      </c>
      <c r="D286" s="38">
        <v>10800</v>
      </c>
      <c r="E286" s="30">
        <v>10800</v>
      </c>
      <c r="F286" s="59">
        <v>22000</v>
      </c>
      <c r="G286" s="17"/>
      <c r="I286" s="69"/>
    </row>
    <row r="287" spans="1:9" x14ac:dyDescent="0.25">
      <c r="A287" s="51" t="s">
        <v>366</v>
      </c>
      <c r="B287" s="52" t="s">
        <v>367</v>
      </c>
      <c r="C287" s="53">
        <v>10</v>
      </c>
      <c r="D287" s="54">
        <v>9269</v>
      </c>
      <c r="E287" s="15">
        <f t="shared" ref="E287:E295" si="7">D287+(D287*19%)</f>
        <v>11030.11</v>
      </c>
      <c r="F287" s="61">
        <v>20000</v>
      </c>
      <c r="G287" s="17"/>
      <c r="I287" s="69"/>
    </row>
    <row r="288" spans="1:9" x14ac:dyDescent="0.25">
      <c r="A288" s="62" t="s">
        <v>368</v>
      </c>
      <c r="B288" s="57" t="s">
        <v>369</v>
      </c>
      <c r="C288" s="58">
        <v>2</v>
      </c>
      <c r="D288" s="38">
        <v>5300</v>
      </c>
      <c r="E288" s="15">
        <f t="shared" si="7"/>
        <v>6307</v>
      </c>
      <c r="F288" s="59">
        <v>10000</v>
      </c>
      <c r="G288" s="4"/>
      <c r="I288" s="69"/>
    </row>
    <row r="289" spans="1:9" x14ac:dyDescent="0.25">
      <c r="A289" s="56" t="s">
        <v>19</v>
      </c>
      <c r="B289" s="70" t="s">
        <v>115</v>
      </c>
      <c r="C289" s="60">
        <v>2</v>
      </c>
      <c r="D289" s="59">
        <v>18100</v>
      </c>
      <c r="E289" s="15">
        <f t="shared" si="7"/>
        <v>21539</v>
      </c>
      <c r="F289" s="59">
        <v>32000</v>
      </c>
      <c r="G289" s="4"/>
      <c r="I289" s="69"/>
    </row>
    <row r="290" spans="1:9" x14ac:dyDescent="0.25">
      <c r="A290" s="56" t="s">
        <v>19</v>
      </c>
      <c r="B290" s="70" t="s">
        <v>370</v>
      </c>
      <c r="C290" s="60">
        <v>2</v>
      </c>
      <c r="D290" s="59">
        <v>24000</v>
      </c>
      <c r="E290" s="15">
        <f t="shared" si="7"/>
        <v>28560</v>
      </c>
      <c r="F290" s="59">
        <v>40000</v>
      </c>
      <c r="G290" s="4"/>
      <c r="I290" s="69"/>
    </row>
    <row r="291" spans="1:9" x14ac:dyDescent="0.25">
      <c r="A291" s="56" t="s">
        <v>19</v>
      </c>
      <c r="B291" s="70" t="s">
        <v>371</v>
      </c>
      <c r="C291" s="60">
        <v>2</v>
      </c>
      <c r="D291" s="59">
        <v>11300</v>
      </c>
      <c r="E291" s="15">
        <f t="shared" si="7"/>
        <v>13447</v>
      </c>
      <c r="F291" s="59">
        <v>26000</v>
      </c>
      <c r="G291" s="17"/>
      <c r="I291" s="69"/>
    </row>
    <row r="292" spans="1:9" x14ac:dyDescent="0.25">
      <c r="A292" s="76" t="s">
        <v>372</v>
      </c>
      <c r="B292" s="70" t="s">
        <v>113</v>
      </c>
      <c r="C292" s="77" t="s">
        <v>48</v>
      </c>
      <c r="D292" s="59">
        <v>52090</v>
      </c>
      <c r="E292" s="15">
        <f t="shared" si="7"/>
        <v>61987.1</v>
      </c>
      <c r="F292" s="59">
        <v>85000</v>
      </c>
      <c r="G292" s="4"/>
      <c r="I292" s="69"/>
    </row>
    <row r="293" spans="1:9" x14ac:dyDescent="0.25">
      <c r="A293" s="62" t="s">
        <v>373</v>
      </c>
      <c r="B293" s="70" t="s">
        <v>113</v>
      </c>
      <c r="C293" s="77" t="s">
        <v>48</v>
      </c>
      <c r="D293" s="59">
        <v>59278</v>
      </c>
      <c r="E293" s="15">
        <f t="shared" si="7"/>
        <v>70540.820000000007</v>
      </c>
      <c r="F293" s="59">
        <v>87000</v>
      </c>
      <c r="G293" s="4"/>
      <c r="I293" s="69"/>
    </row>
    <row r="294" spans="1:9" x14ac:dyDescent="0.25">
      <c r="A294" s="56" t="s">
        <v>374</v>
      </c>
      <c r="B294" s="70" t="s">
        <v>113</v>
      </c>
      <c r="C294" s="77" t="s">
        <v>48</v>
      </c>
      <c r="D294" s="59">
        <v>55590</v>
      </c>
      <c r="E294" s="15">
        <f t="shared" si="7"/>
        <v>66152.100000000006</v>
      </c>
      <c r="F294" s="59">
        <v>85000</v>
      </c>
      <c r="G294" s="4">
        <f>(E294*2)</f>
        <v>132304.20000000001</v>
      </c>
      <c r="I294" s="69"/>
    </row>
    <row r="295" spans="1:9" x14ac:dyDescent="0.25">
      <c r="A295" s="64" t="s">
        <v>375</v>
      </c>
      <c r="B295" s="70" t="s">
        <v>113</v>
      </c>
      <c r="C295" s="60">
        <v>1</v>
      </c>
      <c r="D295" s="59">
        <v>52500</v>
      </c>
      <c r="E295" s="15">
        <f t="shared" si="7"/>
        <v>62475</v>
      </c>
      <c r="F295" s="59">
        <v>85000</v>
      </c>
      <c r="G295" s="4"/>
      <c r="I295" s="69"/>
    </row>
    <row r="296" spans="1:9" x14ac:dyDescent="0.25">
      <c r="A296" s="56" t="s">
        <v>376</v>
      </c>
      <c r="B296" s="70" t="s">
        <v>377</v>
      </c>
      <c r="C296" s="60">
        <v>13</v>
      </c>
      <c r="D296" s="59">
        <v>1500</v>
      </c>
      <c r="E296" s="48">
        <v>1500</v>
      </c>
      <c r="F296" s="59">
        <v>5000</v>
      </c>
      <c r="G296" s="78"/>
      <c r="I296" s="69"/>
    </row>
    <row r="297" spans="1:9" x14ac:dyDescent="0.25">
      <c r="A297" s="56" t="s">
        <v>376</v>
      </c>
      <c r="B297" s="70" t="s">
        <v>378</v>
      </c>
      <c r="C297" s="60">
        <v>4</v>
      </c>
      <c r="D297" s="59">
        <v>2500</v>
      </c>
      <c r="E297" s="48">
        <v>2500</v>
      </c>
      <c r="F297" s="59">
        <v>5000</v>
      </c>
      <c r="G297" s="4"/>
      <c r="I297" s="69"/>
    </row>
    <row r="298" spans="1:9" x14ac:dyDescent="0.25">
      <c r="A298" s="56" t="s">
        <v>376</v>
      </c>
      <c r="B298" s="70" t="s">
        <v>379</v>
      </c>
      <c r="C298" s="60">
        <v>6</v>
      </c>
      <c r="D298" s="59">
        <v>9000</v>
      </c>
      <c r="E298" s="48">
        <v>9000</v>
      </c>
      <c r="F298" s="59">
        <v>13000</v>
      </c>
      <c r="G298" s="17"/>
      <c r="I298" s="69"/>
    </row>
    <row r="299" spans="1:9" x14ac:dyDescent="0.25">
      <c r="A299" s="56" t="s">
        <v>376</v>
      </c>
      <c r="B299" s="70" t="s">
        <v>380</v>
      </c>
      <c r="C299" s="60">
        <v>23</v>
      </c>
      <c r="D299" s="59">
        <v>3550</v>
      </c>
      <c r="E299" s="48">
        <v>3550</v>
      </c>
      <c r="F299" s="59">
        <v>7000</v>
      </c>
      <c r="G299" s="17"/>
      <c r="I299" s="69"/>
    </row>
    <row r="300" spans="1:9" x14ac:dyDescent="0.25">
      <c r="A300" s="51" t="s">
        <v>381</v>
      </c>
      <c r="B300" s="52" t="s">
        <v>378</v>
      </c>
      <c r="C300" s="53">
        <v>7</v>
      </c>
      <c r="D300" s="54">
        <v>1800</v>
      </c>
      <c r="E300" s="54">
        <v>1800</v>
      </c>
      <c r="F300" s="61">
        <v>5000</v>
      </c>
      <c r="G300" s="17"/>
      <c r="I300" s="69"/>
    </row>
    <row r="301" spans="1:9" x14ac:dyDescent="0.25">
      <c r="A301" s="56" t="s">
        <v>382</v>
      </c>
      <c r="B301" s="70" t="s">
        <v>379</v>
      </c>
      <c r="C301" s="60">
        <v>8</v>
      </c>
      <c r="D301" s="59">
        <v>2800</v>
      </c>
      <c r="E301" s="48">
        <v>2800</v>
      </c>
      <c r="F301" s="59">
        <v>10000</v>
      </c>
      <c r="G301" s="17"/>
      <c r="I301" s="69"/>
    </row>
    <row r="302" spans="1:9" x14ac:dyDescent="0.25">
      <c r="A302" s="51" t="s">
        <v>383</v>
      </c>
      <c r="B302" s="52" t="s">
        <v>384</v>
      </c>
      <c r="C302" s="53">
        <v>6</v>
      </c>
      <c r="D302" s="54">
        <v>8315</v>
      </c>
      <c r="E302" s="15">
        <f t="shared" ref="E302:E309" si="8">D302+(D302*19%)</f>
        <v>9894.85</v>
      </c>
      <c r="F302" s="55">
        <v>20000</v>
      </c>
      <c r="G302" s="17"/>
      <c r="I302" s="69"/>
    </row>
    <row r="303" spans="1:9" x14ac:dyDescent="0.25">
      <c r="A303" s="56" t="s">
        <v>385</v>
      </c>
      <c r="B303" s="70" t="s">
        <v>386</v>
      </c>
      <c r="C303" s="60">
        <v>3</v>
      </c>
      <c r="D303" s="59">
        <v>9000</v>
      </c>
      <c r="E303" s="63">
        <f t="shared" si="8"/>
        <v>10710</v>
      </c>
      <c r="F303" s="59">
        <v>18000</v>
      </c>
      <c r="G303" s="17"/>
      <c r="I303" s="69"/>
    </row>
    <row r="304" spans="1:9" x14ac:dyDescent="0.25">
      <c r="A304" s="56" t="s">
        <v>385</v>
      </c>
      <c r="B304" s="70" t="s">
        <v>387</v>
      </c>
      <c r="C304" s="60">
        <v>2</v>
      </c>
      <c r="D304" s="59">
        <v>7113</v>
      </c>
      <c r="E304" s="63">
        <f t="shared" si="8"/>
        <v>8464.4699999999993</v>
      </c>
      <c r="F304" s="59">
        <v>14000</v>
      </c>
      <c r="G304" s="17"/>
      <c r="I304" s="69"/>
    </row>
    <row r="305" spans="1:10" x14ac:dyDescent="0.25">
      <c r="A305" s="56" t="s">
        <v>385</v>
      </c>
      <c r="B305" s="70" t="s">
        <v>388</v>
      </c>
      <c r="C305" s="60">
        <v>4</v>
      </c>
      <c r="D305" s="59">
        <v>11000</v>
      </c>
      <c r="E305" s="15">
        <f t="shared" si="8"/>
        <v>13090</v>
      </c>
      <c r="F305" s="59">
        <v>20000</v>
      </c>
      <c r="G305" s="17"/>
      <c r="I305" s="69"/>
    </row>
    <row r="306" spans="1:10" x14ac:dyDescent="0.25">
      <c r="A306" s="56" t="s">
        <v>385</v>
      </c>
      <c r="B306" s="68" t="s">
        <v>389</v>
      </c>
      <c r="C306" s="60">
        <v>2</v>
      </c>
      <c r="D306" s="59">
        <v>9990</v>
      </c>
      <c r="E306" s="15">
        <f t="shared" si="8"/>
        <v>11888.1</v>
      </c>
      <c r="F306" s="59">
        <v>22000</v>
      </c>
      <c r="G306" s="17">
        <v>52000</v>
      </c>
      <c r="I306" s="69"/>
    </row>
    <row r="307" spans="1:10" x14ac:dyDescent="0.25">
      <c r="A307" s="11" t="s">
        <v>385</v>
      </c>
      <c r="B307" s="79" t="s">
        <v>171</v>
      </c>
      <c r="C307" s="18">
        <v>1</v>
      </c>
      <c r="D307" s="24"/>
      <c r="E307" s="15">
        <f t="shared" si="8"/>
        <v>0</v>
      </c>
      <c r="F307" s="24">
        <v>20000</v>
      </c>
      <c r="G307" s="17"/>
      <c r="I307" s="69"/>
    </row>
    <row r="308" spans="1:10" x14ac:dyDescent="0.25">
      <c r="A308" s="80" t="s">
        <v>390</v>
      </c>
      <c r="B308" s="81" t="s">
        <v>33</v>
      </c>
      <c r="C308" s="13">
        <v>100</v>
      </c>
      <c r="D308" s="82">
        <v>1500</v>
      </c>
      <c r="E308" s="15">
        <f t="shared" si="8"/>
        <v>1785</v>
      </c>
      <c r="F308" s="82">
        <v>2000</v>
      </c>
      <c r="G308" s="17"/>
      <c r="I308" s="69"/>
    </row>
    <row r="309" spans="1:10" x14ac:dyDescent="0.25">
      <c r="A309" s="11" t="s">
        <v>391</v>
      </c>
      <c r="B309" s="83" t="s">
        <v>33</v>
      </c>
      <c r="C309" s="18">
        <v>39</v>
      </c>
      <c r="D309" s="24">
        <v>1318</v>
      </c>
      <c r="E309" s="15">
        <f t="shared" si="8"/>
        <v>1568.42</v>
      </c>
      <c r="F309" s="24">
        <v>2000</v>
      </c>
      <c r="G309" s="4"/>
      <c r="I309" s="69"/>
    </row>
    <row r="310" spans="1:10" x14ac:dyDescent="0.25">
      <c r="A310" s="51" t="s">
        <v>392</v>
      </c>
      <c r="B310" s="83" t="s">
        <v>33</v>
      </c>
      <c r="C310" s="20">
        <v>1</v>
      </c>
      <c r="D310" s="14">
        <v>4000</v>
      </c>
      <c r="E310" s="14">
        <v>4000</v>
      </c>
      <c r="F310" s="16">
        <v>10000</v>
      </c>
      <c r="G310" s="17"/>
      <c r="I310" s="69"/>
    </row>
    <row r="311" spans="1:10" x14ac:dyDescent="0.25">
      <c r="A311" s="51" t="s">
        <v>393</v>
      </c>
      <c r="B311" s="84" t="s">
        <v>33</v>
      </c>
      <c r="C311" s="60">
        <v>10</v>
      </c>
      <c r="D311" s="54">
        <v>4000</v>
      </c>
      <c r="E311" s="15">
        <f t="shared" ref="E311:E345" si="9">D311+(D311*19%)</f>
        <v>4760</v>
      </c>
      <c r="F311" s="61">
        <v>8000</v>
      </c>
      <c r="G311" s="4"/>
      <c r="I311" s="69"/>
    </row>
    <row r="312" spans="1:10" x14ac:dyDescent="0.25">
      <c r="A312" s="51" t="s">
        <v>394</v>
      </c>
      <c r="B312" s="84" t="s">
        <v>395</v>
      </c>
      <c r="C312" s="53">
        <v>4</v>
      </c>
      <c r="D312" s="54">
        <v>4907</v>
      </c>
      <c r="E312" s="15">
        <f t="shared" si="9"/>
        <v>5839.33</v>
      </c>
      <c r="F312" s="54">
        <v>12000</v>
      </c>
      <c r="G312" s="17"/>
      <c r="I312" s="69"/>
    </row>
    <row r="313" spans="1:10" x14ac:dyDescent="0.25">
      <c r="A313" s="85" t="s">
        <v>394</v>
      </c>
      <c r="B313" s="86" t="s">
        <v>20</v>
      </c>
      <c r="C313" s="87">
        <v>8</v>
      </c>
      <c r="D313" s="38">
        <v>4675</v>
      </c>
      <c r="E313" s="15">
        <f t="shared" si="9"/>
        <v>5563.25</v>
      </c>
      <c r="F313" s="59">
        <v>13000</v>
      </c>
      <c r="G313" s="4"/>
      <c r="I313" s="69"/>
    </row>
    <row r="314" spans="1:10" x14ac:dyDescent="0.25">
      <c r="A314" s="85" t="s">
        <v>394</v>
      </c>
      <c r="B314" s="88" t="s">
        <v>396</v>
      </c>
      <c r="C314" s="53">
        <v>5</v>
      </c>
      <c r="D314" s="61">
        <v>5979</v>
      </c>
      <c r="E314" s="15">
        <f t="shared" si="9"/>
        <v>7115.01</v>
      </c>
      <c r="F314" s="59">
        <v>13000</v>
      </c>
      <c r="G314" s="4"/>
      <c r="H314" s="69"/>
      <c r="I314" s="69"/>
      <c r="J314" s="69"/>
    </row>
    <row r="315" spans="1:10" x14ac:dyDescent="0.25">
      <c r="A315" s="85" t="s">
        <v>394</v>
      </c>
      <c r="B315" s="88" t="s">
        <v>397</v>
      </c>
      <c r="C315" s="53">
        <v>3</v>
      </c>
      <c r="D315" s="38">
        <v>5700</v>
      </c>
      <c r="E315" s="15">
        <f t="shared" si="9"/>
        <v>6783</v>
      </c>
      <c r="F315" s="59">
        <v>12000</v>
      </c>
      <c r="G315" s="4"/>
      <c r="I315" s="69"/>
    </row>
    <row r="316" spans="1:10" x14ac:dyDescent="0.25">
      <c r="A316" s="85" t="s">
        <v>394</v>
      </c>
      <c r="B316" s="86" t="s">
        <v>386</v>
      </c>
      <c r="C316" s="53">
        <v>7</v>
      </c>
      <c r="D316" s="38">
        <v>5171</v>
      </c>
      <c r="E316" s="15">
        <f t="shared" si="9"/>
        <v>6153.49</v>
      </c>
      <c r="F316" s="59">
        <v>13000</v>
      </c>
      <c r="G316" s="4"/>
      <c r="I316" s="69"/>
    </row>
    <row r="317" spans="1:10" x14ac:dyDescent="0.25">
      <c r="A317" s="85" t="s">
        <v>394</v>
      </c>
      <c r="B317" s="86" t="s">
        <v>260</v>
      </c>
      <c r="C317" s="53">
        <v>2</v>
      </c>
      <c r="D317" s="61">
        <v>4160</v>
      </c>
      <c r="E317" s="15">
        <f t="shared" si="9"/>
        <v>4950.3999999999996</v>
      </c>
      <c r="F317" s="59">
        <v>12000</v>
      </c>
      <c r="G317" s="4"/>
      <c r="I317" s="69"/>
    </row>
    <row r="318" spans="1:10" x14ac:dyDescent="0.25">
      <c r="A318" s="85" t="s">
        <v>394</v>
      </c>
      <c r="B318" s="89" t="s">
        <v>398</v>
      </c>
      <c r="C318" s="53">
        <v>5</v>
      </c>
      <c r="D318" s="61">
        <v>4950</v>
      </c>
      <c r="E318" s="15">
        <f t="shared" si="9"/>
        <v>5890.5</v>
      </c>
      <c r="F318" s="59">
        <v>18000</v>
      </c>
      <c r="G318" s="4"/>
      <c r="H318" s="69"/>
      <c r="I318" s="69"/>
      <c r="J318" s="69"/>
    </row>
    <row r="319" spans="1:10" x14ac:dyDescent="0.25">
      <c r="A319" s="85" t="s">
        <v>394</v>
      </c>
      <c r="B319" s="89" t="s">
        <v>399</v>
      </c>
      <c r="C319" s="53">
        <v>3</v>
      </c>
      <c r="D319" s="61">
        <v>9800</v>
      </c>
      <c r="E319" s="15">
        <f t="shared" si="9"/>
        <v>11662</v>
      </c>
      <c r="F319" s="59">
        <v>22000</v>
      </c>
      <c r="G319" s="4"/>
      <c r="H319" s="69"/>
      <c r="I319" s="69"/>
      <c r="J319" s="69"/>
    </row>
    <row r="320" spans="1:10" x14ac:dyDescent="0.25">
      <c r="A320" s="85" t="s">
        <v>394</v>
      </c>
      <c r="B320" s="89" t="s">
        <v>400</v>
      </c>
      <c r="C320" s="53">
        <v>6</v>
      </c>
      <c r="D320" s="61">
        <v>8500</v>
      </c>
      <c r="E320" s="15">
        <f t="shared" si="9"/>
        <v>10115</v>
      </c>
      <c r="F320" s="59">
        <v>22000</v>
      </c>
      <c r="G320" s="4"/>
      <c r="H320" s="69"/>
      <c r="I320" s="69"/>
      <c r="J320" s="69"/>
    </row>
    <row r="321" spans="1:10" x14ac:dyDescent="0.25">
      <c r="A321" s="51" t="s">
        <v>394</v>
      </c>
      <c r="B321" s="52" t="s">
        <v>388</v>
      </c>
      <c r="C321" s="53">
        <v>7</v>
      </c>
      <c r="D321" s="59">
        <v>4433</v>
      </c>
      <c r="E321" s="15">
        <f t="shared" si="9"/>
        <v>5275.27</v>
      </c>
      <c r="F321" s="59">
        <v>14000</v>
      </c>
      <c r="G321" s="4"/>
      <c r="H321" s="69"/>
      <c r="I321" s="69"/>
      <c r="J321" s="69"/>
    </row>
    <row r="322" spans="1:10" x14ac:dyDescent="0.25">
      <c r="A322" s="51" t="s">
        <v>394</v>
      </c>
      <c r="B322" s="52" t="s">
        <v>401</v>
      </c>
      <c r="C322" s="53">
        <v>2</v>
      </c>
      <c r="D322" s="59">
        <v>4200</v>
      </c>
      <c r="E322" s="15">
        <f t="shared" si="9"/>
        <v>4998</v>
      </c>
      <c r="F322" s="59">
        <v>14000</v>
      </c>
      <c r="G322" s="4"/>
      <c r="H322" s="69"/>
      <c r="I322" s="69"/>
      <c r="J322" s="69"/>
    </row>
    <row r="323" spans="1:10" x14ac:dyDescent="0.25">
      <c r="A323" s="51" t="s">
        <v>394</v>
      </c>
      <c r="B323" s="52" t="s">
        <v>115</v>
      </c>
      <c r="C323" s="53">
        <v>2</v>
      </c>
      <c r="D323" s="59">
        <v>4150</v>
      </c>
      <c r="E323" s="15">
        <f t="shared" si="9"/>
        <v>4938.5</v>
      </c>
      <c r="F323" s="59">
        <v>14000</v>
      </c>
      <c r="G323" s="4"/>
      <c r="H323" s="69"/>
      <c r="I323" s="69"/>
      <c r="J323" s="69"/>
    </row>
    <row r="324" spans="1:10" x14ac:dyDescent="0.25">
      <c r="A324" s="51" t="s">
        <v>394</v>
      </c>
      <c r="B324" s="52" t="s">
        <v>402</v>
      </c>
      <c r="C324" s="53">
        <v>6</v>
      </c>
      <c r="D324" s="59">
        <v>5775</v>
      </c>
      <c r="E324" s="15">
        <f t="shared" si="9"/>
        <v>6872.25</v>
      </c>
      <c r="F324" s="59">
        <v>15000</v>
      </c>
      <c r="G324" s="4"/>
    </row>
    <row r="325" spans="1:10" x14ac:dyDescent="0.25">
      <c r="A325" s="85" t="s">
        <v>403</v>
      </c>
      <c r="B325" s="88" t="s">
        <v>404</v>
      </c>
      <c r="C325" s="53">
        <v>4</v>
      </c>
      <c r="D325" s="61">
        <v>3608</v>
      </c>
      <c r="E325" s="63">
        <f t="shared" si="9"/>
        <v>4293.5200000000004</v>
      </c>
      <c r="F325" s="59">
        <v>12000</v>
      </c>
      <c r="G325" s="17"/>
    </row>
    <row r="326" spans="1:10" x14ac:dyDescent="0.25">
      <c r="A326" s="85" t="s">
        <v>403</v>
      </c>
      <c r="B326" s="88" t="s">
        <v>405</v>
      </c>
      <c r="C326" s="53">
        <v>4</v>
      </c>
      <c r="D326" s="61">
        <v>4160</v>
      </c>
      <c r="E326" s="15">
        <f t="shared" si="9"/>
        <v>4950.3999999999996</v>
      </c>
      <c r="F326" s="59">
        <v>12000</v>
      </c>
      <c r="G326" s="4"/>
    </row>
    <row r="327" spans="1:10" x14ac:dyDescent="0.25">
      <c r="A327" s="85" t="s">
        <v>406</v>
      </c>
      <c r="B327" s="88" t="s">
        <v>407</v>
      </c>
      <c r="C327" s="53">
        <v>4</v>
      </c>
      <c r="D327" s="61">
        <v>12320</v>
      </c>
      <c r="E327" s="15">
        <f t="shared" si="9"/>
        <v>14660.8</v>
      </c>
      <c r="F327" s="59">
        <v>26000</v>
      </c>
      <c r="G327" s="4"/>
    </row>
    <row r="328" spans="1:10" x14ac:dyDescent="0.25">
      <c r="A328" s="85" t="s">
        <v>408</v>
      </c>
      <c r="B328" s="88" t="s">
        <v>191</v>
      </c>
      <c r="C328" s="53">
        <v>10</v>
      </c>
      <c r="D328" s="61">
        <v>6200</v>
      </c>
      <c r="E328" s="15">
        <f t="shared" si="9"/>
        <v>7378</v>
      </c>
      <c r="F328" s="59">
        <v>15000</v>
      </c>
      <c r="G328" s="4"/>
    </row>
    <row r="329" spans="1:10" ht="30" x14ac:dyDescent="0.25">
      <c r="A329" s="51" t="s">
        <v>409</v>
      </c>
      <c r="B329" s="52" t="s">
        <v>410</v>
      </c>
      <c r="C329" s="53">
        <v>8</v>
      </c>
      <c r="D329" s="90">
        <v>4724</v>
      </c>
      <c r="E329" s="15">
        <f t="shared" si="9"/>
        <v>5621.56</v>
      </c>
      <c r="F329" s="90">
        <v>13000</v>
      </c>
      <c r="G329" s="4"/>
    </row>
    <row r="330" spans="1:10" x14ac:dyDescent="0.25">
      <c r="A330" s="85" t="s">
        <v>409</v>
      </c>
      <c r="B330" s="88" t="s">
        <v>386</v>
      </c>
      <c r="C330" s="53">
        <v>3</v>
      </c>
      <c r="D330" s="38">
        <v>4900</v>
      </c>
      <c r="E330" s="15">
        <f t="shared" si="9"/>
        <v>5831</v>
      </c>
      <c r="F330" s="59">
        <v>12000</v>
      </c>
      <c r="G330" s="4"/>
    </row>
    <row r="331" spans="1:10" x14ac:dyDescent="0.25">
      <c r="A331" s="85" t="s">
        <v>409</v>
      </c>
      <c r="B331" s="88" t="s">
        <v>411</v>
      </c>
      <c r="C331" s="53">
        <v>3</v>
      </c>
      <c r="D331" s="61">
        <v>4990</v>
      </c>
      <c r="E331" s="15">
        <f t="shared" si="9"/>
        <v>5938.1</v>
      </c>
      <c r="F331" s="59">
        <v>15000</v>
      </c>
      <c r="G331" s="4"/>
    </row>
    <row r="332" spans="1:10" x14ac:dyDescent="0.25">
      <c r="A332" s="85" t="s">
        <v>409</v>
      </c>
      <c r="B332" s="88" t="s">
        <v>412</v>
      </c>
      <c r="C332" s="53">
        <v>1</v>
      </c>
      <c r="D332" s="61">
        <v>5700</v>
      </c>
      <c r="E332" s="15">
        <f t="shared" si="9"/>
        <v>6783</v>
      </c>
      <c r="F332" s="59">
        <v>15000</v>
      </c>
      <c r="G332" s="4"/>
    </row>
    <row r="333" spans="1:10" x14ac:dyDescent="0.25">
      <c r="A333" s="85" t="s">
        <v>409</v>
      </c>
      <c r="B333" s="88" t="s">
        <v>413</v>
      </c>
      <c r="C333" s="53">
        <v>4</v>
      </c>
      <c r="D333" s="61">
        <v>5650</v>
      </c>
      <c r="E333" s="15">
        <f t="shared" si="9"/>
        <v>6723.5</v>
      </c>
      <c r="F333" s="59">
        <v>14000</v>
      </c>
      <c r="G333" s="4"/>
    </row>
    <row r="334" spans="1:10" x14ac:dyDescent="0.25">
      <c r="A334" s="85" t="s">
        <v>409</v>
      </c>
      <c r="B334" s="88" t="s">
        <v>299</v>
      </c>
      <c r="C334" s="53">
        <v>5</v>
      </c>
      <c r="D334" s="61">
        <v>4900</v>
      </c>
      <c r="E334" s="15">
        <f t="shared" si="9"/>
        <v>5831</v>
      </c>
      <c r="F334" s="59">
        <v>13000</v>
      </c>
      <c r="G334" s="4"/>
    </row>
    <row r="335" spans="1:10" x14ac:dyDescent="0.25">
      <c r="A335" s="85" t="s">
        <v>409</v>
      </c>
      <c r="B335" s="88" t="s">
        <v>414</v>
      </c>
      <c r="C335" s="53">
        <v>7</v>
      </c>
      <c r="D335" s="61">
        <v>5343</v>
      </c>
      <c r="E335" s="63">
        <f t="shared" si="9"/>
        <v>6358.17</v>
      </c>
      <c r="F335" s="59">
        <v>13000</v>
      </c>
      <c r="G335" s="4"/>
    </row>
    <row r="336" spans="1:10" x14ac:dyDescent="0.25">
      <c r="A336" s="85" t="s">
        <v>409</v>
      </c>
      <c r="B336" s="89" t="s">
        <v>415</v>
      </c>
      <c r="C336" s="77" t="s">
        <v>8</v>
      </c>
      <c r="D336" s="61">
        <v>6082</v>
      </c>
      <c r="E336" s="63">
        <f t="shared" si="9"/>
        <v>7237.58</v>
      </c>
      <c r="F336" s="59">
        <v>14000</v>
      </c>
      <c r="G336" s="4"/>
    </row>
    <row r="337" spans="1:10" x14ac:dyDescent="0.25">
      <c r="A337" s="85" t="s">
        <v>409</v>
      </c>
      <c r="B337" s="88" t="s">
        <v>20</v>
      </c>
      <c r="C337" s="87">
        <v>8</v>
      </c>
      <c r="D337" s="38">
        <v>6432</v>
      </c>
      <c r="E337" s="63">
        <f t="shared" si="9"/>
        <v>7654.08</v>
      </c>
      <c r="F337" s="59">
        <v>14000</v>
      </c>
      <c r="G337" s="4"/>
    </row>
    <row r="338" spans="1:10" x14ac:dyDescent="0.25">
      <c r="A338" s="85" t="s">
        <v>409</v>
      </c>
      <c r="B338" s="88" t="s">
        <v>396</v>
      </c>
      <c r="C338" s="53">
        <v>8</v>
      </c>
      <c r="D338" s="61">
        <v>6454</v>
      </c>
      <c r="E338" s="63">
        <f t="shared" si="9"/>
        <v>7680.26</v>
      </c>
      <c r="F338" s="59">
        <v>14000</v>
      </c>
      <c r="G338" s="4"/>
    </row>
    <row r="339" spans="1:10" x14ac:dyDescent="0.25">
      <c r="A339" s="85" t="s">
        <v>409</v>
      </c>
      <c r="B339" s="88" t="s">
        <v>397</v>
      </c>
      <c r="C339" s="53">
        <v>8</v>
      </c>
      <c r="D339" s="38">
        <v>4300</v>
      </c>
      <c r="E339" s="63">
        <f t="shared" si="9"/>
        <v>5117</v>
      </c>
      <c r="F339" s="59">
        <v>12000</v>
      </c>
      <c r="G339" s="4"/>
    </row>
    <row r="340" spans="1:10" x14ac:dyDescent="0.25">
      <c r="A340" s="85" t="s">
        <v>409</v>
      </c>
      <c r="B340" s="88" t="s">
        <v>246</v>
      </c>
      <c r="C340" s="53">
        <v>4</v>
      </c>
      <c r="D340" s="38">
        <v>5300</v>
      </c>
      <c r="E340" s="63">
        <f t="shared" si="9"/>
        <v>6307</v>
      </c>
      <c r="F340" s="59">
        <v>12000</v>
      </c>
      <c r="G340" s="4"/>
    </row>
    <row r="341" spans="1:10" x14ac:dyDescent="0.25">
      <c r="A341" s="51" t="s">
        <v>416</v>
      </c>
      <c r="B341" s="52" t="s">
        <v>417</v>
      </c>
      <c r="C341" s="53">
        <v>10</v>
      </c>
      <c r="D341" s="54">
        <v>4738</v>
      </c>
      <c r="E341" s="15">
        <f t="shared" si="9"/>
        <v>5638.22</v>
      </c>
      <c r="F341" s="54">
        <v>12000</v>
      </c>
      <c r="G341" s="4"/>
      <c r="H341" s="69"/>
      <c r="I341" s="69"/>
      <c r="J341" s="69"/>
    </row>
    <row r="342" spans="1:10" x14ac:dyDescent="0.25">
      <c r="A342" s="51" t="s">
        <v>416</v>
      </c>
      <c r="B342" s="52" t="s">
        <v>418</v>
      </c>
      <c r="C342" s="53">
        <v>5</v>
      </c>
      <c r="D342" s="54">
        <v>4381</v>
      </c>
      <c r="E342" s="15">
        <f t="shared" si="9"/>
        <v>5213.3900000000003</v>
      </c>
      <c r="F342" s="61">
        <v>12000</v>
      </c>
      <c r="G342" s="4"/>
      <c r="H342" s="69"/>
      <c r="I342" s="69"/>
      <c r="J342" s="69"/>
    </row>
    <row r="343" spans="1:10" x14ac:dyDescent="0.25">
      <c r="A343" s="51" t="s">
        <v>416</v>
      </c>
      <c r="B343" s="52" t="s">
        <v>419</v>
      </c>
      <c r="C343" s="53">
        <v>5</v>
      </c>
      <c r="D343" s="54">
        <v>6050</v>
      </c>
      <c r="E343" s="15">
        <f t="shared" si="9"/>
        <v>7199.5</v>
      </c>
      <c r="F343" s="61">
        <v>13000</v>
      </c>
      <c r="G343" s="4"/>
      <c r="H343" s="69"/>
      <c r="I343" s="69"/>
      <c r="J343" s="69"/>
    </row>
    <row r="344" spans="1:10" ht="15.75" x14ac:dyDescent="0.25">
      <c r="A344" s="91" t="s">
        <v>416</v>
      </c>
      <c r="B344" s="92" t="s">
        <v>171</v>
      </c>
      <c r="C344" s="93">
        <v>5</v>
      </c>
      <c r="D344" s="94">
        <v>4650</v>
      </c>
      <c r="E344" s="15">
        <f t="shared" si="9"/>
        <v>5533.5</v>
      </c>
      <c r="F344" s="94">
        <v>13000</v>
      </c>
      <c r="G344" s="25"/>
      <c r="H344" s="69"/>
      <c r="I344" s="69"/>
      <c r="J344" s="69"/>
    </row>
    <row r="345" spans="1:10" x14ac:dyDescent="0.25">
      <c r="A345" s="85" t="s">
        <v>420</v>
      </c>
      <c r="B345" s="88" t="s">
        <v>421</v>
      </c>
      <c r="C345" s="53">
        <v>12</v>
      </c>
      <c r="D345" s="61">
        <v>4757</v>
      </c>
      <c r="E345" s="15">
        <f t="shared" si="9"/>
        <v>5660.83</v>
      </c>
      <c r="F345" s="59">
        <v>12000</v>
      </c>
      <c r="G345" s="4"/>
      <c r="H345" s="69"/>
      <c r="I345" s="69"/>
      <c r="J345" s="69"/>
    </row>
    <row r="346" spans="1:10" x14ac:dyDescent="0.25">
      <c r="A346" s="51" t="s">
        <v>422</v>
      </c>
      <c r="B346" s="52" t="s">
        <v>290</v>
      </c>
      <c r="C346" s="60">
        <v>4</v>
      </c>
      <c r="D346" s="61">
        <v>3400</v>
      </c>
      <c r="E346" s="16">
        <v>3400</v>
      </c>
      <c r="F346" s="61">
        <v>13000</v>
      </c>
      <c r="G346" s="4"/>
      <c r="H346" s="69"/>
      <c r="I346" s="69"/>
      <c r="J346" s="69"/>
    </row>
    <row r="347" spans="1:10" x14ac:dyDescent="0.25">
      <c r="A347" s="51" t="s">
        <v>422</v>
      </c>
      <c r="B347" s="52" t="s">
        <v>179</v>
      </c>
      <c r="C347" s="60">
        <v>4</v>
      </c>
      <c r="D347" s="61">
        <v>6600</v>
      </c>
      <c r="E347" s="16">
        <v>6600</v>
      </c>
      <c r="F347" s="61">
        <v>14000</v>
      </c>
      <c r="G347" s="4"/>
      <c r="H347" s="69"/>
      <c r="I347" s="69"/>
      <c r="J347" s="69"/>
    </row>
    <row r="348" spans="1:10" x14ac:dyDescent="0.25">
      <c r="A348" s="51" t="s">
        <v>422</v>
      </c>
      <c r="B348" s="52" t="s">
        <v>317</v>
      </c>
      <c r="C348" s="60">
        <v>3</v>
      </c>
      <c r="D348" s="61">
        <v>5900</v>
      </c>
      <c r="E348" s="16">
        <v>5900</v>
      </c>
      <c r="F348" s="61">
        <v>18000</v>
      </c>
      <c r="G348" s="4"/>
      <c r="H348" s="69"/>
      <c r="I348" s="69"/>
      <c r="J348" s="69"/>
    </row>
    <row r="349" spans="1:10" ht="30" x14ac:dyDescent="0.25">
      <c r="A349" s="85" t="s">
        <v>423</v>
      </c>
      <c r="B349" s="88" t="s">
        <v>424</v>
      </c>
      <c r="C349" s="53">
        <v>6</v>
      </c>
      <c r="D349" s="61">
        <v>4800</v>
      </c>
      <c r="E349" s="63">
        <f>D349+(D349*19%)</f>
        <v>5712</v>
      </c>
      <c r="F349" s="59">
        <v>13000</v>
      </c>
      <c r="G349" s="4"/>
      <c r="H349" s="69"/>
      <c r="I349" s="69"/>
      <c r="J349" s="69"/>
    </row>
    <row r="350" spans="1:10" x14ac:dyDescent="0.25">
      <c r="A350" s="51" t="s">
        <v>425</v>
      </c>
      <c r="B350" s="52" t="s">
        <v>33</v>
      </c>
      <c r="C350" s="60">
        <v>50</v>
      </c>
      <c r="D350" s="54">
        <v>500</v>
      </c>
      <c r="E350" s="15">
        <f>D350+(D350*19%)</f>
        <v>595</v>
      </c>
      <c r="F350" s="61">
        <v>1000</v>
      </c>
      <c r="G350" s="4"/>
      <c r="H350" s="69"/>
      <c r="I350" s="69"/>
      <c r="J350" s="69"/>
    </row>
    <row r="351" spans="1:10" x14ac:dyDescent="0.25">
      <c r="A351" s="85" t="s">
        <v>426</v>
      </c>
      <c r="B351" s="88" t="s">
        <v>290</v>
      </c>
      <c r="C351" s="60">
        <v>5</v>
      </c>
      <c r="D351" s="61">
        <v>5361</v>
      </c>
      <c r="E351" s="15">
        <f>D351+(D351*19%)</f>
        <v>6379.59</v>
      </c>
      <c r="F351" s="59">
        <v>13000</v>
      </c>
      <c r="G351" s="4"/>
      <c r="H351" s="69"/>
      <c r="I351" s="69"/>
      <c r="J351" s="69"/>
    </row>
    <row r="352" spans="1:10" x14ac:dyDescent="0.25">
      <c r="A352" s="85" t="s">
        <v>427</v>
      </c>
      <c r="B352" s="88" t="s">
        <v>428</v>
      </c>
      <c r="C352" s="60">
        <v>1</v>
      </c>
      <c r="D352" s="61">
        <v>0</v>
      </c>
      <c r="E352" s="15">
        <v>0</v>
      </c>
      <c r="F352" s="59">
        <v>13000</v>
      </c>
      <c r="G352" s="4"/>
      <c r="H352" s="69"/>
      <c r="I352" s="69"/>
      <c r="J352" s="69"/>
    </row>
    <row r="353" spans="1:9" x14ac:dyDescent="0.25">
      <c r="A353" s="85" t="s">
        <v>429</v>
      </c>
      <c r="B353" s="88" t="s">
        <v>430</v>
      </c>
      <c r="C353" s="95" t="s">
        <v>8</v>
      </c>
      <c r="D353" s="61">
        <v>6031</v>
      </c>
      <c r="E353" s="15">
        <f t="shared" ref="E353:E366" si="10">D353+(D353*19%)</f>
        <v>7176.89</v>
      </c>
      <c r="F353" s="59">
        <v>16000</v>
      </c>
      <c r="G353" s="17"/>
      <c r="I353" s="69"/>
    </row>
    <row r="354" spans="1:9" x14ac:dyDescent="0.25">
      <c r="A354" s="51" t="s">
        <v>431</v>
      </c>
      <c r="B354" s="84" t="s">
        <v>432</v>
      </c>
      <c r="C354" s="53">
        <v>3</v>
      </c>
      <c r="D354" s="54">
        <v>4906</v>
      </c>
      <c r="E354" s="15">
        <f t="shared" si="10"/>
        <v>5838.14</v>
      </c>
      <c r="F354" s="55">
        <v>12000</v>
      </c>
      <c r="G354" s="17"/>
      <c r="I354" s="69"/>
    </row>
    <row r="355" spans="1:9" x14ac:dyDescent="0.25">
      <c r="A355" s="85" t="s">
        <v>433</v>
      </c>
      <c r="B355" s="86" t="s">
        <v>386</v>
      </c>
      <c r="C355" s="53">
        <v>3</v>
      </c>
      <c r="D355" s="38">
        <v>5200</v>
      </c>
      <c r="E355" s="15">
        <f t="shared" si="10"/>
        <v>6188</v>
      </c>
      <c r="F355" s="59">
        <v>12000</v>
      </c>
      <c r="G355" s="17"/>
      <c r="I355" s="69"/>
    </row>
    <row r="356" spans="1:9" x14ac:dyDescent="0.25">
      <c r="A356" s="85" t="s">
        <v>433</v>
      </c>
      <c r="B356" s="86" t="s">
        <v>397</v>
      </c>
      <c r="C356" s="53">
        <v>4</v>
      </c>
      <c r="D356" s="38">
        <v>4200</v>
      </c>
      <c r="E356" s="15">
        <f t="shared" si="10"/>
        <v>4998</v>
      </c>
      <c r="F356" s="59">
        <v>10000</v>
      </c>
      <c r="G356" s="17"/>
    </row>
    <row r="357" spans="1:9" x14ac:dyDescent="0.25">
      <c r="A357" s="85" t="s">
        <v>433</v>
      </c>
      <c r="B357" s="86" t="s">
        <v>434</v>
      </c>
      <c r="C357" s="53">
        <v>4</v>
      </c>
      <c r="D357" s="38">
        <v>5670</v>
      </c>
      <c r="E357" s="15">
        <f t="shared" si="10"/>
        <v>6747.3</v>
      </c>
      <c r="F357" s="59">
        <v>13000</v>
      </c>
      <c r="G357" s="4"/>
    </row>
    <row r="358" spans="1:9" x14ac:dyDescent="0.25">
      <c r="A358" s="51" t="s">
        <v>433</v>
      </c>
      <c r="B358" s="84" t="s">
        <v>249</v>
      </c>
      <c r="C358" s="53">
        <v>4</v>
      </c>
      <c r="D358" s="59">
        <v>8557</v>
      </c>
      <c r="E358" s="15">
        <f t="shared" si="10"/>
        <v>10182.83</v>
      </c>
      <c r="F358" s="59">
        <v>18000</v>
      </c>
      <c r="G358" s="4"/>
    </row>
    <row r="359" spans="1:9" x14ac:dyDescent="0.25">
      <c r="A359" s="26" t="s">
        <v>435</v>
      </c>
      <c r="B359" s="96" t="s">
        <v>436</v>
      </c>
      <c r="C359" s="22">
        <v>11</v>
      </c>
      <c r="D359" s="30">
        <v>4550</v>
      </c>
      <c r="E359" s="15">
        <f t="shared" si="10"/>
        <v>5414.5</v>
      </c>
      <c r="F359" s="48">
        <v>13000</v>
      </c>
      <c r="G359" s="4"/>
    </row>
    <row r="360" spans="1:9" x14ac:dyDescent="0.25">
      <c r="A360" s="85" t="s">
        <v>437</v>
      </c>
      <c r="B360" s="86" t="s">
        <v>438</v>
      </c>
      <c r="C360" s="53">
        <v>8</v>
      </c>
      <c r="D360" s="61">
        <v>5197</v>
      </c>
      <c r="E360" s="15">
        <f t="shared" si="10"/>
        <v>6184.43</v>
      </c>
      <c r="F360" s="59">
        <v>14000</v>
      </c>
      <c r="G360" s="4"/>
      <c r="I360" s="69"/>
    </row>
    <row r="361" spans="1:9" x14ac:dyDescent="0.25">
      <c r="A361" s="51" t="s">
        <v>439</v>
      </c>
      <c r="B361" s="84" t="s">
        <v>440</v>
      </c>
      <c r="C361" s="53">
        <v>3</v>
      </c>
      <c r="D361" s="54">
        <v>5200</v>
      </c>
      <c r="E361" s="15">
        <f t="shared" si="10"/>
        <v>6188</v>
      </c>
      <c r="F361" s="55">
        <v>13000</v>
      </c>
      <c r="G361" s="17"/>
      <c r="I361" s="69"/>
    </row>
    <row r="362" spans="1:9" x14ac:dyDescent="0.25">
      <c r="A362" s="85" t="s">
        <v>439</v>
      </c>
      <c r="B362" s="86" t="s">
        <v>441</v>
      </c>
      <c r="C362" s="53">
        <v>7</v>
      </c>
      <c r="D362" s="61">
        <v>5842</v>
      </c>
      <c r="E362" s="15">
        <f t="shared" si="10"/>
        <v>6951.98</v>
      </c>
      <c r="F362" s="59">
        <v>14000</v>
      </c>
      <c r="G362" s="4"/>
      <c r="I362" s="69"/>
    </row>
    <row r="363" spans="1:9" x14ac:dyDescent="0.25">
      <c r="A363" s="85" t="s">
        <v>439</v>
      </c>
      <c r="B363" s="86" t="s">
        <v>442</v>
      </c>
      <c r="C363" s="53">
        <v>5</v>
      </c>
      <c r="D363" s="61">
        <v>5200</v>
      </c>
      <c r="E363" s="15">
        <f t="shared" si="10"/>
        <v>6188</v>
      </c>
      <c r="F363" s="59">
        <v>13000</v>
      </c>
      <c r="G363" s="4"/>
    </row>
    <row r="364" spans="1:9" x14ac:dyDescent="0.25">
      <c r="A364" s="85" t="s">
        <v>439</v>
      </c>
      <c r="B364" s="86" t="s">
        <v>443</v>
      </c>
      <c r="C364" s="53">
        <v>4</v>
      </c>
      <c r="D364" s="61">
        <v>4600</v>
      </c>
      <c r="E364" s="15">
        <f t="shared" si="10"/>
        <v>5474</v>
      </c>
      <c r="F364" s="59">
        <v>12000</v>
      </c>
      <c r="G364" s="4"/>
    </row>
    <row r="365" spans="1:9" x14ac:dyDescent="0.25">
      <c r="A365" s="85" t="s">
        <v>439</v>
      </c>
      <c r="B365" s="86" t="s">
        <v>386</v>
      </c>
      <c r="C365" s="53">
        <v>6</v>
      </c>
      <c r="D365" s="61">
        <v>4110</v>
      </c>
      <c r="E365" s="15">
        <f t="shared" si="10"/>
        <v>4890.8999999999996</v>
      </c>
      <c r="F365" s="59">
        <v>12000</v>
      </c>
      <c r="G365" s="4"/>
    </row>
    <row r="366" spans="1:9" x14ac:dyDescent="0.25">
      <c r="A366" s="85" t="s">
        <v>439</v>
      </c>
      <c r="B366" s="86" t="s">
        <v>444</v>
      </c>
      <c r="C366" s="53">
        <v>3</v>
      </c>
      <c r="D366" s="61">
        <v>4845</v>
      </c>
      <c r="E366" s="15">
        <f t="shared" si="10"/>
        <v>5765.55</v>
      </c>
      <c r="F366" s="59">
        <v>12000</v>
      </c>
      <c r="G366" s="4"/>
    </row>
    <row r="367" spans="1:9" x14ac:dyDescent="0.25">
      <c r="A367" s="85" t="s">
        <v>439</v>
      </c>
      <c r="B367" s="86" t="s">
        <v>445</v>
      </c>
      <c r="C367" s="97">
        <v>11</v>
      </c>
      <c r="D367" s="63">
        <v>5216</v>
      </c>
      <c r="E367" s="33">
        <v>6207</v>
      </c>
      <c r="F367" s="98">
        <v>13000</v>
      </c>
      <c r="G367" s="4"/>
    </row>
    <row r="368" spans="1:9" x14ac:dyDescent="0.25">
      <c r="A368" s="51" t="s">
        <v>446</v>
      </c>
      <c r="B368" s="84" t="s">
        <v>290</v>
      </c>
      <c r="C368" s="60">
        <v>2</v>
      </c>
      <c r="D368" s="61">
        <v>4200</v>
      </c>
      <c r="E368" s="16">
        <v>4200</v>
      </c>
      <c r="F368" s="61">
        <v>12000</v>
      </c>
      <c r="G368" s="17"/>
    </row>
    <row r="369" spans="1:7" ht="30" x14ac:dyDescent="0.25">
      <c r="A369" s="51" t="s">
        <v>447</v>
      </c>
      <c r="B369" s="84" t="s">
        <v>448</v>
      </c>
      <c r="C369" s="53">
        <v>2</v>
      </c>
      <c r="D369" s="54">
        <v>17000</v>
      </c>
      <c r="E369" s="15">
        <v>17000</v>
      </c>
      <c r="F369" s="54">
        <v>35000</v>
      </c>
      <c r="G369" s="4"/>
    </row>
    <row r="370" spans="1:7" x14ac:dyDescent="0.25">
      <c r="A370" s="51" t="s">
        <v>449</v>
      </c>
      <c r="B370" s="84" t="s">
        <v>450</v>
      </c>
      <c r="C370" s="53">
        <v>4</v>
      </c>
      <c r="D370" s="54">
        <v>6400</v>
      </c>
      <c r="E370" s="15">
        <f t="shared" ref="E370:E400" si="11">D370+(D370*19%)</f>
        <v>7616</v>
      </c>
      <c r="F370" s="55">
        <v>16000</v>
      </c>
      <c r="G370" s="4"/>
    </row>
    <row r="371" spans="1:7" x14ac:dyDescent="0.25">
      <c r="A371" s="51" t="s">
        <v>451</v>
      </c>
      <c r="B371" s="84" t="s">
        <v>452</v>
      </c>
      <c r="C371" s="53">
        <v>4</v>
      </c>
      <c r="D371" s="59">
        <v>1598</v>
      </c>
      <c r="E371" s="15">
        <f t="shared" si="11"/>
        <v>1901.62</v>
      </c>
      <c r="F371" s="59">
        <v>5500</v>
      </c>
      <c r="G371" s="4"/>
    </row>
    <row r="372" spans="1:7" x14ac:dyDescent="0.25">
      <c r="A372" s="85" t="s">
        <v>451</v>
      </c>
      <c r="B372" s="86" t="s">
        <v>453</v>
      </c>
      <c r="C372" s="53">
        <v>19</v>
      </c>
      <c r="D372" s="61">
        <v>1443</v>
      </c>
      <c r="E372" s="15">
        <f t="shared" si="11"/>
        <v>1717.17</v>
      </c>
      <c r="F372" s="59">
        <v>5500</v>
      </c>
      <c r="G372" s="4"/>
    </row>
    <row r="373" spans="1:7" x14ac:dyDescent="0.25">
      <c r="A373" s="85" t="s">
        <v>451</v>
      </c>
      <c r="B373" s="86" t="s">
        <v>454</v>
      </c>
      <c r="C373" s="53">
        <v>12</v>
      </c>
      <c r="D373" s="61">
        <v>1639</v>
      </c>
      <c r="E373" s="15">
        <f t="shared" si="11"/>
        <v>1950.41</v>
      </c>
      <c r="F373" s="59">
        <v>5500</v>
      </c>
      <c r="G373" s="25"/>
    </row>
    <row r="374" spans="1:7" x14ac:dyDescent="0.25">
      <c r="A374" s="85" t="s">
        <v>451</v>
      </c>
      <c r="B374" s="86" t="s">
        <v>455</v>
      </c>
      <c r="C374" s="53">
        <v>6</v>
      </c>
      <c r="D374" s="54">
        <v>1701</v>
      </c>
      <c r="E374" s="15">
        <f t="shared" si="11"/>
        <v>2024.19</v>
      </c>
      <c r="F374" s="99">
        <v>6000</v>
      </c>
      <c r="G374" s="4"/>
    </row>
    <row r="375" spans="1:7" x14ac:dyDescent="0.25">
      <c r="A375" s="51" t="s">
        <v>451</v>
      </c>
      <c r="B375" s="84" t="s">
        <v>456</v>
      </c>
      <c r="C375" s="53">
        <v>8</v>
      </c>
      <c r="D375" s="54">
        <v>1466</v>
      </c>
      <c r="E375" s="15">
        <f t="shared" si="11"/>
        <v>1744.54</v>
      </c>
      <c r="F375" s="54">
        <v>5000</v>
      </c>
      <c r="G375" s="4"/>
    </row>
    <row r="376" spans="1:7" x14ac:dyDescent="0.25">
      <c r="A376" s="51" t="s">
        <v>457</v>
      </c>
      <c r="B376" s="84" t="s">
        <v>458</v>
      </c>
      <c r="C376" s="53">
        <v>5</v>
      </c>
      <c r="D376" s="54">
        <v>1945</v>
      </c>
      <c r="E376" s="15">
        <f t="shared" si="11"/>
        <v>2314.5500000000002</v>
      </c>
      <c r="F376" s="99">
        <v>6000</v>
      </c>
      <c r="G376" s="17">
        <f>(E376*4)</f>
        <v>9258.2000000000007</v>
      </c>
    </row>
    <row r="377" spans="1:7" ht="30" x14ac:dyDescent="0.25">
      <c r="A377" s="51" t="s">
        <v>459</v>
      </c>
      <c r="B377" s="84" t="s">
        <v>460</v>
      </c>
      <c r="C377" s="53">
        <v>4</v>
      </c>
      <c r="D377" s="90">
        <v>2000</v>
      </c>
      <c r="E377" s="15">
        <f t="shared" si="11"/>
        <v>2380</v>
      </c>
      <c r="F377" s="90">
        <v>7000</v>
      </c>
      <c r="G377" s="17"/>
    </row>
    <row r="378" spans="1:7" x14ac:dyDescent="0.25">
      <c r="A378" s="51" t="s">
        <v>459</v>
      </c>
      <c r="B378" s="84" t="s">
        <v>461</v>
      </c>
      <c r="C378" s="53">
        <v>3</v>
      </c>
      <c r="D378" s="90">
        <v>2000</v>
      </c>
      <c r="E378" s="15">
        <f t="shared" si="11"/>
        <v>2380</v>
      </c>
      <c r="F378" s="90">
        <v>7000</v>
      </c>
      <c r="G378" s="4"/>
    </row>
    <row r="379" spans="1:7" ht="30" x14ac:dyDescent="0.25">
      <c r="A379" s="51" t="s">
        <v>462</v>
      </c>
      <c r="B379" s="86" t="s">
        <v>463</v>
      </c>
      <c r="C379" s="53">
        <v>1</v>
      </c>
      <c r="D379" s="90">
        <v>2000</v>
      </c>
      <c r="E379" s="15">
        <f t="shared" si="11"/>
        <v>2380</v>
      </c>
      <c r="F379" s="90">
        <v>8000</v>
      </c>
      <c r="G379" s="17"/>
    </row>
    <row r="380" spans="1:7" ht="30" x14ac:dyDescent="0.25">
      <c r="A380" s="51" t="s">
        <v>464</v>
      </c>
      <c r="B380" s="84" t="s">
        <v>465</v>
      </c>
      <c r="C380" s="53">
        <v>4</v>
      </c>
      <c r="D380" s="90">
        <v>2000</v>
      </c>
      <c r="E380" s="15">
        <f t="shared" si="11"/>
        <v>2380</v>
      </c>
      <c r="F380" s="90">
        <v>7000</v>
      </c>
      <c r="G380" s="4"/>
    </row>
    <row r="381" spans="1:7" x14ac:dyDescent="0.25">
      <c r="A381" s="51" t="s">
        <v>466</v>
      </c>
      <c r="B381" s="84" t="s">
        <v>436</v>
      </c>
      <c r="C381" s="53">
        <v>7</v>
      </c>
      <c r="D381" s="90">
        <v>31389</v>
      </c>
      <c r="E381" s="15">
        <f t="shared" si="11"/>
        <v>37352.910000000003</v>
      </c>
      <c r="F381" s="90">
        <v>55000</v>
      </c>
      <c r="G381" s="4"/>
    </row>
    <row r="382" spans="1:7" x14ac:dyDescent="0.25">
      <c r="A382" s="51" t="s">
        <v>466</v>
      </c>
      <c r="B382" s="84" t="s">
        <v>467</v>
      </c>
      <c r="C382" s="53">
        <v>4</v>
      </c>
      <c r="D382" s="90">
        <v>28886</v>
      </c>
      <c r="E382" s="15">
        <f t="shared" si="11"/>
        <v>34374.339999999997</v>
      </c>
      <c r="F382" s="90">
        <v>40000</v>
      </c>
      <c r="G382" s="4"/>
    </row>
    <row r="383" spans="1:7" x14ac:dyDescent="0.25">
      <c r="A383" s="51" t="s">
        <v>466</v>
      </c>
      <c r="B383" s="84" t="s">
        <v>468</v>
      </c>
      <c r="C383" s="53">
        <v>7</v>
      </c>
      <c r="D383" s="90">
        <v>28991</v>
      </c>
      <c r="E383" s="15">
        <f t="shared" si="11"/>
        <v>34499.29</v>
      </c>
      <c r="F383" s="90">
        <v>50000</v>
      </c>
      <c r="G383" s="4"/>
    </row>
    <row r="384" spans="1:7" x14ac:dyDescent="0.25">
      <c r="A384" s="51" t="s">
        <v>466</v>
      </c>
      <c r="B384" s="84" t="s">
        <v>469</v>
      </c>
      <c r="C384" s="53">
        <v>4</v>
      </c>
      <c r="D384" s="90">
        <v>30412</v>
      </c>
      <c r="E384" s="15">
        <f t="shared" si="11"/>
        <v>36190.28</v>
      </c>
      <c r="F384" s="90">
        <v>55000</v>
      </c>
      <c r="G384" s="4"/>
    </row>
    <row r="385" spans="1:10" x14ac:dyDescent="0.25">
      <c r="A385" s="51" t="s">
        <v>466</v>
      </c>
      <c r="B385" s="84" t="s">
        <v>113</v>
      </c>
      <c r="C385" s="53">
        <v>6</v>
      </c>
      <c r="D385" s="90">
        <v>26178</v>
      </c>
      <c r="E385" s="15">
        <f t="shared" si="11"/>
        <v>31151.82</v>
      </c>
      <c r="F385" s="90">
        <v>50000</v>
      </c>
      <c r="G385" s="4"/>
    </row>
    <row r="386" spans="1:10" x14ac:dyDescent="0.25">
      <c r="A386" s="51" t="s">
        <v>466</v>
      </c>
      <c r="B386" s="84" t="s">
        <v>388</v>
      </c>
      <c r="C386" s="53">
        <v>2</v>
      </c>
      <c r="D386" s="90">
        <v>31753</v>
      </c>
      <c r="E386" s="15">
        <f t="shared" si="11"/>
        <v>37786.07</v>
      </c>
      <c r="F386" s="90">
        <v>60000</v>
      </c>
      <c r="G386" s="4"/>
    </row>
    <row r="387" spans="1:10" x14ac:dyDescent="0.25">
      <c r="A387" s="51" t="s">
        <v>466</v>
      </c>
      <c r="B387" s="84" t="s">
        <v>470</v>
      </c>
      <c r="C387" s="53">
        <v>3</v>
      </c>
      <c r="D387" s="90">
        <v>43446</v>
      </c>
      <c r="E387" s="15">
        <f t="shared" si="11"/>
        <v>51700.74</v>
      </c>
      <c r="F387" s="90">
        <v>68000</v>
      </c>
      <c r="G387" s="4"/>
    </row>
    <row r="388" spans="1:10" x14ac:dyDescent="0.25">
      <c r="A388" s="51" t="s">
        <v>466</v>
      </c>
      <c r="B388" s="84" t="s">
        <v>471</v>
      </c>
      <c r="C388" s="53">
        <v>4</v>
      </c>
      <c r="D388" s="90">
        <v>27144</v>
      </c>
      <c r="E388" s="15">
        <f t="shared" si="11"/>
        <v>32301.360000000001</v>
      </c>
      <c r="F388" s="90">
        <v>55000</v>
      </c>
      <c r="G388" s="17"/>
    </row>
    <row r="389" spans="1:10" x14ac:dyDescent="0.25">
      <c r="A389" s="51" t="s">
        <v>466</v>
      </c>
      <c r="B389" s="84" t="s">
        <v>472</v>
      </c>
      <c r="C389" s="53">
        <v>3</v>
      </c>
      <c r="D389" s="90">
        <v>31031</v>
      </c>
      <c r="E389" s="15">
        <f t="shared" si="11"/>
        <v>36926.89</v>
      </c>
      <c r="F389" s="90">
        <v>48000</v>
      </c>
      <c r="G389" s="100"/>
    </row>
    <row r="390" spans="1:10" x14ac:dyDescent="0.25">
      <c r="A390" s="51" t="s">
        <v>466</v>
      </c>
      <c r="B390" s="84" t="s">
        <v>122</v>
      </c>
      <c r="C390" s="53">
        <v>5</v>
      </c>
      <c r="D390" s="90">
        <v>27423</v>
      </c>
      <c r="E390" s="15">
        <f t="shared" si="11"/>
        <v>32633.37</v>
      </c>
      <c r="F390" s="90">
        <v>42000</v>
      </c>
      <c r="G390" s="4"/>
    </row>
    <row r="391" spans="1:10" x14ac:dyDescent="0.25">
      <c r="A391" s="51" t="s">
        <v>466</v>
      </c>
      <c r="B391" s="84" t="s">
        <v>473</v>
      </c>
      <c r="C391" s="53">
        <v>4</v>
      </c>
      <c r="D391" s="90">
        <v>30157</v>
      </c>
      <c r="E391" s="15">
        <f t="shared" si="11"/>
        <v>35886.83</v>
      </c>
      <c r="F391" s="90">
        <v>55000</v>
      </c>
      <c r="G391" s="100">
        <v>9</v>
      </c>
    </row>
    <row r="392" spans="1:10" x14ac:dyDescent="0.25">
      <c r="A392" s="51" t="s">
        <v>474</v>
      </c>
      <c r="B392" s="84" t="s">
        <v>475</v>
      </c>
      <c r="C392" s="53">
        <v>2</v>
      </c>
      <c r="D392" s="54">
        <v>74399</v>
      </c>
      <c r="E392" s="15">
        <f t="shared" si="11"/>
        <v>88534.81</v>
      </c>
      <c r="F392" s="55">
        <v>130000</v>
      </c>
      <c r="G392" s="4"/>
    </row>
    <row r="393" spans="1:10" x14ac:dyDescent="0.25">
      <c r="A393" s="51" t="s">
        <v>476</v>
      </c>
      <c r="B393" s="52" t="s">
        <v>477</v>
      </c>
      <c r="C393" s="53">
        <v>1</v>
      </c>
      <c r="D393" s="54">
        <v>34227</v>
      </c>
      <c r="E393" s="15">
        <f t="shared" si="11"/>
        <v>40730.129999999997</v>
      </c>
      <c r="F393" s="55">
        <v>68000</v>
      </c>
      <c r="G393" s="4"/>
    </row>
    <row r="394" spans="1:10" x14ac:dyDescent="0.25">
      <c r="A394" s="51" t="s">
        <v>478</v>
      </c>
      <c r="B394" s="84" t="s">
        <v>171</v>
      </c>
      <c r="C394" s="53">
        <v>3</v>
      </c>
      <c r="D394" s="54">
        <v>42934</v>
      </c>
      <c r="E394" s="15">
        <f t="shared" si="11"/>
        <v>51091.46</v>
      </c>
      <c r="F394" s="55">
        <v>78000</v>
      </c>
      <c r="G394" s="4"/>
    </row>
    <row r="395" spans="1:10" x14ac:dyDescent="0.25">
      <c r="A395" s="51" t="s">
        <v>479</v>
      </c>
      <c r="B395" s="52" t="s">
        <v>480</v>
      </c>
      <c r="C395" s="60">
        <v>2</v>
      </c>
      <c r="D395" s="54">
        <v>38454</v>
      </c>
      <c r="E395" s="15">
        <f t="shared" si="11"/>
        <v>45760.26</v>
      </c>
      <c r="F395" s="55">
        <v>62000</v>
      </c>
      <c r="G395" s="4"/>
    </row>
    <row r="396" spans="1:10" x14ac:dyDescent="0.25">
      <c r="A396" s="51" t="s">
        <v>479</v>
      </c>
      <c r="B396" s="52" t="s">
        <v>481</v>
      </c>
      <c r="C396" s="60">
        <v>1</v>
      </c>
      <c r="D396" s="54">
        <v>46984</v>
      </c>
      <c r="E396" s="15">
        <f t="shared" si="11"/>
        <v>55910.96</v>
      </c>
      <c r="F396" s="55">
        <v>70000</v>
      </c>
      <c r="G396" s="4"/>
    </row>
    <row r="397" spans="1:10" x14ac:dyDescent="0.25">
      <c r="A397" s="51" t="s">
        <v>482</v>
      </c>
      <c r="B397" s="52" t="s">
        <v>483</v>
      </c>
      <c r="C397" s="53">
        <v>1</v>
      </c>
      <c r="D397" s="54">
        <v>59500</v>
      </c>
      <c r="E397" s="15">
        <f t="shared" si="11"/>
        <v>70805</v>
      </c>
      <c r="F397" s="55">
        <v>110000</v>
      </c>
      <c r="G397" s="4"/>
    </row>
    <row r="398" spans="1:10" x14ac:dyDescent="0.25">
      <c r="A398" s="62" t="s">
        <v>484</v>
      </c>
      <c r="B398" s="57" t="s">
        <v>20</v>
      </c>
      <c r="C398" s="60">
        <v>4</v>
      </c>
      <c r="D398" s="61"/>
      <c r="E398" s="15">
        <f t="shared" si="11"/>
        <v>0</v>
      </c>
      <c r="F398" s="59">
        <v>55000</v>
      </c>
      <c r="G398" s="4"/>
    </row>
    <row r="399" spans="1:10" x14ac:dyDescent="0.25">
      <c r="A399" s="62" t="s">
        <v>485</v>
      </c>
      <c r="B399" s="57" t="s">
        <v>486</v>
      </c>
      <c r="C399" s="60">
        <v>1</v>
      </c>
      <c r="D399" s="61"/>
      <c r="E399" s="15">
        <f t="shared" si="11"/>
        <v>0</v>
      </c>
      <c r="F399" s="59">
        <v>50000</v>
      </c>
      <c r="G399" s="4"/>
    </row>
    <row r="400" spans="1:10" x14ac:dyDescent="0.25">
      <c r="A400" s="51" t="s">
        <v>487</v>
      </c>
      <c r="B400" s="84" t="s">
        <v>488</v>
      </c>
      <c r="C400" s="53">
        <v>3</v>
      </c>
      <c r="D400" s="54">
        <v>41962</v>
      </c>
      <c r="E400" s="15">
        <f t="shared" si="11"/>
        <v>49934.78</v>
      </c>
      <c r="F400" s="55">
        <v>63000</v>
      </c>
      <c r="G400" s="4"/>
      <c r="H400" s="69"/>
      <c r="I400" s="69"/>
      <c r="J400" s="69"/>
    </row>
    <row r="401" spans="1:10" x14ac:dyDescent="0.25">
      <c r="A401" s="62" t="s">
        <v>489</v>
      </c>
      <c r="B401" s="57" t="s">
        <v>490</v>
      </c>
      <c r="C401" s="77" t="s">
        <v>8</v>
      </c>
      <c r="D401" s="61">
        <v>32000</v>
      </c>
      <c r="E401" s="16">
        <v>32000</v>
      </c>
      <c r="F401" s="59">
        <v>45000</v>
      </c>
      <c r="G401" s="4"/>
      <c r="H401" s="69"/>
      <c r="I401" s="69"/>
      <c r="J401" s="69"/>
    </row>
    <row r="402" spans="1:10" ht="30" x14ac:dyDescent="0.25">
      <c r="A402" s="62" t="s">
        <v>491</v>
      </c>
      <c r="B402" s="57" t="s">
        <v>492</v>
      </c>
      <c r="C402" s="60">
        <v>1</v>
      </c>
      <c r="D402" s="61">
        <v>27000</v>
      </c>
      <c r="E402" s="15">
        <v>27000</v>
      </c>
      <c r="F402" s="59">
        <v>45000</v>
      </c>
      <c r="G402" s="4"/>
      <c r="H402" s="69"/>
      <c r="I402" s="69"/>
      <c r="J402" s="69"/>
    </row>
    <row r="403" spans="1:10" x14ac:dyDescent="0.25">
      <c r="A403" s="51" t="s">
        <v>493</v>
      </c>
      <c r="B403" s="52" t="s">
        <v>494</v>
      </c>
      <c r="C403" s="77" t="s">
        <v>8</v>
      </c>
      <c r="D403" s="90">
        <v>51000</v>
      </c>
      <c r="E403" s="40">
        <v>51000</v>
      </c>
      <c r="F403" s="90">
        <v>80000</v>
      </c>
      <c r="G403" s="4"/>
      <c r="H403" s="69"/>
      <c r="I403" s="69"/>
      <c r="J403" s="69"/>
    </row>
    <row r="404" spans="1:10" ht="30" x14ac:dyDescent="0.25">
      <c r="A404" s="51" t="s">
        <v>495</v>
      </c>
      <c r="B404" s="52" t="s">
        <v>496</v>
      </c>
      <c r="C404" s="53">
        <v>1</v>
      </c>
      <c r="D404" s="54">
        <v>18000</v>
      </c>
      <c r="E404" s="15">
        <v>18000</v>
      </c>
      <c r="F404" s="55">
        <v>35000</v>
      </c>
      <c r="G404" s="4"/>
      <c r="H404" s="69"/>
      <c r="I404" s="69"/>
      <c r="J404" s="69"/>
    </row>
    <row r="405" spans="1:10" x14ac:dyDescent="0.25">
      <c r="A405" s="85" t="s">
        <v>497</v>
      </c>
      <c r="B405" s="88" t="s">
        <v>191</v>
      </c>
      <c r="C405" s="53">
        <v>9</v>
      </c>
      <c r="D405" s="54">
        <v>7000</v>
      </c>
      <c r="E405" s="14">
        <v>7000</v>
      </c>
      <c r="F405" s="99">
        <v>12000</v>
      </c>
      <c r="G405" s="4"/>
      <c r="H405" s="69"/>
      <c r="I405" s="69"/>
      <c r="J405" s="69"/>
    </row>
    <row r="406" spans="1:10" x14ac:dyDescent="0.25">
      <c r="A406" s="85" t="s">
        <v>498</v>
      </c>
      <c r="B406" s="88" t="s">
        <v>499</v>
      </c>
      <c r="C406" s="53">
        <v>9</v>
      </c>
      <c r="D406" s="54">
        <v>11227</v>
      </c>
      <c r="E406" s="15">
        <f>D406+(D406*19%)</f>
        <v>13360.130000000001</v>
      </c>
      <c r="F406" s="99">
        <v>22000</v>
      </c>
      <c r="G406" s="4"/>
      <c r="H406" s="69"/>
      <c r="I406" s="69"/>
      <c r="J406" s="69"/>
    </row>
    <row r="407" spans="1:10" x14ac:dyDescent="0.25">
      <c r="A407" s="85" t="s">
        <v>498</v>
      </c>
      <c r="B407" s="88" t="s">
        <v>500</v>
      </c>
      <c r="C407" s="53">
        <v>6</v>
      </c>
      <c r="D407" s="54">
        <v>8740</v>
      </c>
      <c r="E407" s="15">
        <f>D407+(D407*19%)</f>
        <v>10400.6</v>
      </c>
      <c r="F407" s="99">
        <v>16000</v>
      </c>
      <c r="G407" s="4"/>
      <c r="H407" s="69"/>
      <c r="I407" s="69"/>
      <c r="J407" s="69"/>
    </row>
    <row r="408" spans="1:10" x14ac:dyDescent="0.25">
      <c r="A408" s="85" t="s">
        <v>498</v>
      </c>
      <c r="B408" s="88" t="s">
        <v>386</v>
      </c>
      <c r="C408" s="53">
        <v>10</v>
      </c>
      <c r="D408" s="54">
        <v>7740</v>
      </c>
      <c r="E408" s="15">
        <f>D408+(D408*19%)</f>
        <v>9210.6</v>
      </c>
      <c r="F408" s="99">
        <v>16000</v>
      </c>
      <c r="G408" s="4"/>
      <c r="H408" s="69"/>
      <c r="I408" s="69"/>
      <c r="J408" s="69"/>
    </row>
    <row r="409" spans="1:10" x14ac:dyDescent="0.25">
      <c r="A409" s="85" t="s">
        <v>498</v>
      </c>
      <c r="B409" s="86" t="s">
        <v>501</v>
      </c>
      <c r="C409" s="53">
        <v>8</v>
      </c>
      <c r="D409" s="54">
        <v>10930</v>
      </c>
      <c r="E409" s="15">
        <f>D409+(D409*19%)</f>
        <v>13006.7</v>
      </c>
      <c r="F409" s="99">
        <v>22000</v>
      </c>
      <c r="G409" s="4"/>
      <c r="H409" s="69"/>
      <c r="I409" s="69"/>
      <c r="J409" s="69"/>
    </row>
    <row r="410" spans="1:10" x14ac:dyDescent="0.25">
      <c r="A410" s="85" t="s">
        <v>502</v>
      </c>
      <c r="B410" s="86" t="s">
        <v>33</v>
      </c>
      <c r="C410" s="53">
        <v>1</v>
      </c>
      <c r="D410" s="54">
        <v>6000</v>
      </c>
      <c r="E410" s="14">
        <v>6000</v>
      </c>
      <c r="F410" s="99">
        <v>7500</v>
      </c>
      <c r="G410" s="4"/>
      <c r="H410" s="69"/>
      <c r="I410" s="69"/>
      <c r="J410" s="69"/>
    </row>
    <row r="411" spans="1:10" x14ac:dyDescent="0.25">
      <c r="A411" s="51" t="s">
        <v>503</v>
      </c>
      <c r="B411" s="84" t="s">
        <v>504</v>
      </c>
      <c r="C411" s="53">
        <v>3</v>
      </c>
      <c r="D411" s="90">
        <v>12750</v>
      </c>
      <c r="E411" s="15">
        <f t="shared" ref="E411:E424" si="12">D411+(D411*19%)</f>
        <v>15172.5</v>
      </c>
      <c r="F411" s="90">
        <v>20000</v>
      </c>
      <c r="G411" s="4"/>
      <c r="H411" s="69"/>
      <c r="I411" s="69"/>
      <c r="J411" s="69"/>
    </row>
    <row r="412" spans="1:10" x14ac:dyDescent="0.25">
      <c r="A412" s="51" t="s">
        <v>503</v>
      </c>
      <c r="B412" s="84" t="s">
        <v>505</v>
      </c>
      <c r="C412" s="53">
        <v>5</v>
      </c>
      <c r="D412" s="90">
        <v>6700</v>
      </c>
      <c r="E412" s="15">
        <f t="shared" si="12"/>
        <v>7973</v>
      </c>
      <c r="F412" s="90">
        <v>14000</v>
      </c>
      <c r="G412" s="4"/>
      <c r="H412" s="69"/>
      <c r="I412" s="69"/>
      <c r="J412" s="69"/>
    </row>
    <row r="413" spans="1:10" x14ac:dyDescent="0.25">
      <c r="A413" s="51" t="s">
        <v>503</v>
      </c>
      <c r="B413" s="84" t="s">
        <v>290</v>
      </c>
      <c r="C413" s="53">
        <v>8</v>
      </c>
      <c r="D413" s="90">
        <v>9400</v>
      </c>
      <c r="E413" s="15">
        <f t="shared" si="12"/>
        <v>11186</v>
      </c>
      <c r="F413" s="90">
        <v>18000</v>
      </c>
      <c r="G413" s="4"/>
    </row>
    <row r="414" spans="1:10" x14ac:dyDescent="0.25">
      <c r="A414" s="51" t="s">
        <v>503</v>
      </c>
      <c r="B414" s="84" t="s">
        <v>506</v>
      </c>
      <c r="C414" s="53">
        <v>3</v>
      </c>
      <c r="D414" s="90">
        <v>6100</v>
      </c>
      <c r="E414" s="15">
        <f t="shared" si="12"/>
        <v>7259</v>
      </c>
      <c r="F414" s="90">
        <v>12000</v>
      </c>
      <c r="G414" s="4"/>
    </row>
    <row r="415" spans="1:10" x14ac:dyDescent="0.25">
      <c r="A415" s="51" t="s">
        <v>503</v>
      </c>
      <c r="B415" s="84" t="s">
        <v>507</v>
      </c>
      <c r="C415" s="53">
        <v>2</v>
      </c>
      <c r="D415" s="90">
        <v>7010</v>
      </c>
      <c r="E415" s="15">
        <f t="shared" si="12"/>
        <v>8341.9</v>
      </c>
      <c r="F415" s="90">
        <v>14000</v>
      </c>
      <c r="G415" s="4"/>
    </row>
    <row r="416" spans="1:10" x14ac:dyDescent="0.25">
      <c r="A416" s="51" t="s">
        <v>508</v>
      </c>
      <c r="B416" s="84" t="s">
        <v>509</v>
      </c>
      <c r="C416" s="53">
        <v>2</v>
      </c>
      <c r="D416" s="54">
        <v>4433</v>
      </c>
      <c r="E416" s="15">
        <f t="shared" si="12"/>
        <v>5275.27</v>
      </c>
      <c r="F416" s="55">
        <v>10000</v>
      </c>
      <c r="G416" s="4"/>
    </row>
    <row r="417" spans="1:7" x14ac:dyDescent="0.25">
      <c r="A417" s="51" t="s">
        <v>508</v>
      </c>
      <c r="B417" s="84" t="s">
        <v>397</v>
      </c>
      <c r="C417" s="53">
        <v>3</v>
      </c>
      <c r="D417" s="54">
        <v>3400</v>
      </c>
      <c r="E417" s="15">
        <f t="shared" si="12"/>
        <v>4046</v>
      </c>
      <c r="F417" s="55">
        <v>10000</v>
      </c>
      <c r="G417" s="4"/>
    </row>
    <row r="418" spans="1:7" x14ac:dyDescent="0.25">
      <c r="A418" s="51" t="s">
        <v>508</v>
      </c>
      <c r="B418" s="84" t="s">
        <v>510</v>
      </c>
      <c r="C418" s="53">
        <v>4</v>
      </c>
      <c r="D418" s="54">
        <v>4201</v>
      </c>
      <c r="E418" s="15">
        <f t="shared" si="12"/>
        <v>4999.1900000000005</v>
      </c>
      <c r="F418" s="55">
        <v>10000</v>
      </c>
      <c r="G418" s="4"/>
    </row>
    <row r="419" spans="1:7" x14ac:dyDescent="0.25">
      <c r="A419" s="101" t="s">
        <v>508</v>
      </c>
      <c r="B419" s="102" t="s">
        <v>511</v>
      </c>
      <c r="C419" s="77" t="s">
        <v>48</v>
      </c>
      <c r="D419" s="103">
        <v>4630</v>
      </c>
      <c r="E419" s="15">
        <f t="shared" si="12"/>
        <v>5509.7</v>
      </c>
      <c r="F419" s="104">
        <v>10000</v>
      </c>
      <c r="G419" s="4"/>
    </row>
    <row r="420" spans="1:7" x14ac:dyDescent="0.25">
      <c r="A420" s="101" t="s">
        <v>508</v>
      </c>
      <c r="B420" s="102" t="s">
        <v>260</v>
      </c>
      <c r="C420" s="105">
        <v>4</v>
      </c>
      <c r="D420" s="103">
        <v>4125</v>
      </c>
      <c r="E420" s="15">
        <f t="shared" si="12"/>
        <v>4908.75</v>
      </c>
      <c r="F420" s="104">
        <v>10000</v>
      </c>
      <c r="G420" s="4"/>
    </row>
    <row r="421" spans="1:7" x14ac:dyDescent="0.25">
      <c r="A421" s="101" t="s">
        <v>508</v>
      </c>
      <c r="B421" s="102" t="s">
        <v>512</v>
      </c>
      <c r="C421" s="105">
        <v>7</v>
      </c>
      <c r="D421" s="103">
        <v>4660</v>
      </c>
      <c r="E421" s="15">
        <f t="shared" si="12"/>
        <v>5545.4</v>
      </c>
      <c r="F421" s="104">
        <v>10000</v>
      </c>
      <c r="G421" s="4"/>
    </row>
    <row r="422" spans="1:7" x14ac:dyDescent="0.25">
      <c r="A422" s="51" t="s">
        <v>513</v>
      </c>
      <c r="B422" s="84" t="s">
        <v>514</v>
      </c>
      <c r="C422" s="53">
        <v>1</v>
      </c>
      <c r="D422" s="54">
        <v>4190</v>
      </c>
      <c r="E422" s="15">
        <f t="shared" si="12"/>
        <v>4986.1000000000004</v>
      </c>
      <c r="F422" s="61">
        <v>10000</v>
      </c>
      <c r="G422" s="4"/>
    </row>
    <row r="423" spans="1:7" ht="30" x14ac:dyDescent="0.25">
      <c r="A423" s="51" t="s">
        <v>513</v>
      </c>
      <c r="B423" s="84" t="s">
        <v>515</v>
      </c>
      <c r="C423" s="53">
        <v>3</v>
      </c>
      <c r="D423" s="54">
        <v>4025</v>
      </c>
      <c r="E423" s="15">
        <f t="shared" si="12"/>
        <v>4789.75</v>
      </c>
      <c r="F423" s="55">
        <v>12000</v>
      </c>
      <c r="G423" s="4"/>
    </row>
    <row r="424" spans="1:7" x14ac:dyDescent="0.25">
      <c r="A424" s="51" t="s">
        <v>516</v>
      </c>
      <c r="B424" s="84" t="s">
        <v>517</v>
      </c>
      <c r="C424" s="53">
        <v>2</v>
      </c>
      <c r="D424" s="54">
        <v>4250</v>
      </c>
      <c r="E424" s="15">
        <f t="shared" si="12"/>
        <v>5057.5</v>
      </c>
      <c r="F424" s="55">
        <v>10000</v>
      </c>
      <c r="G424" s="4"/>
    </row>
    <row r="425" spans="1:7" x14ac:dyDescent="0.25">
      <c r="A425" s="51" t="s">
        <v>518</v>
      </c>
      <c r="B425" s="84" t="s">
        <v>171</v>
      </c>
      <c r="C425" s="60">
        <v>3</v>
      </c>
      <c r="D425" s="61">
        <v>4200</v>
      </c>
      <c r="E425" s="16">
        <v>4200</v>
      </c>
      <c r="F425" s="61">
        <v>10000</v>
      </c>
      <c r="G425" s="4"/>
    </row>
    <row r="426" spans="1:7" x14ac:dyDescent="0.25">
      <c r="A426" s="51" t="s">
        <v>519</v>
      </c>
      <c r="B426" s="84" t="s">
        <v>514</v>
      </c>
      <c r="C426" s="53">
        <v>2</v>
      </c>
      <c r="D426" s="54">
        <v>4360</v>
      </c>
      <c r="E426" s="15">
        <f t="shared" ref="E426:E435" si="13">D426+(D426*19%)</f>
        <v>5188.3999999999996</v>
      </c>
      <c r="F426" s="55">
        <v>10000</v>
      </c>
      <c r="G426" s="4"/>
    </row>
    <row r="427" spans="1:7" x14ac:dyDescent="0.25">
      <c r="A427" s="101" t="s">
        <v>519</v>
      </c>
      <c r="B427" s="102" t="s">
        <v>520</v>
      </c>
      <c r="C427" s="105">
        <v>4</v>
      </c>
      <c r="D427" s="103">
        <v>4630</v>
      </c>
      <c r="E427" s="15">
        <f t="shared" si="13"/>
        <v>5509.7</v>
      </c>
      <c r="F427" s="104">
        <v>10000</v>
      </c>
      <c r="G427" s="4">
        <f>(D427/4)</f>
        <v>1157.5</v>
      </c>
    </row>
    <row r="428" spans="1:7" x14ac:dyDescent="0.25">
      <c r="A428" s="101" t="s">
        <v>519</v>
      </c>
      <c r="B428" s="102" t="s">
        <v>260</v>
      </c>
      <c r="C428" s="105">
        <v>8</v>
      </c>
      <c r="D428" s="103">
        <v>4125</v>
      </c>
      <c r="E428" s="15">
        <f t="shared" si="13"/>
        <v>4908.75</v>
      </c>
      <c r="F428" s="104">
        <v>10000</v>
      </c>
      <c r="G428" s="4"/>
    </row>
    <row r="429" spans="1:7" x14ac:dyDescent="0.25">
      <c r="A429" s="101" t="s">
        <v>519</v>
      </c>
      <c r="B429" s="102" t="s">
        <v>521</v>
      </c>
      <c r="C429" s="105"/>
      <c r="D429" s="103">
        <v>4660</v>
      </c>
      <c r="E429" s="15">
        <f t="shared" si="13"/>
        <v>5545.4</v>
      </c>
      <c r="F429" s="104">
        <v>10000</v>
      </c>
      <c r="G429" s="4"/>
    </row>
    <row r="430" spans="1:7" x14ac:dyDescent="0.25">
      <c r="A430" s="51" t="s">
        <v>522</v>
      </c>
      <c r="B430" s="84" t="s">
        <v>523</v>
      </c>
      <c r="C430" s="53">
        <v>3</v>
      </c>
      <c r="D430" s="54">
        <v>3866</v>
      </c>
      <c r="E430" s="15">
        <f t="shared" si="13"/>
        <v>4600.54</v>
      </c>
      <c r="F430" s="104">
        <v>10000</v>
      </c>
      <c r="G430" s="4"/>
    </row>
    <row r="431" spans="1:7" x14ac:dyDescent="0.25">
      <c r="A431" s="51" t="s">
        <v>522</v>
      </c>
      <c r="B431" s="84" t="s">
        <v>524</v>
      </c>
      <c r="C431" s="53">
        <v>3</v>
      </c>
      <c r="D431" s="54">
        <v>3190</v>
      </c>
      <c r="E431" s="15">
        <f t="shared" si="13"/>
        <v>3796.1</v>
      </c>
      <c r="F431" s="104">
        <v>10000</v>
      </c>
      <c r="G431" s="106">
        <v>8000</v>
      </c>
    </row>
    <row r="432" spans="1:7" ht="15.75" x14ac:dyDescent="0.25">
      <c r="A432" s="91" t="s">
        <v>525</v>
      </c>
      <c r="B432" s="107" t="s">
        <v>526</v>
      </c>
      <c r="C432" s="93">
        <v>8</v>
      </c>
      <c r="D432" s="71">
        <v>9728</v>
      </c>
      <c r="E432" s="63">
        <f t="shared" si="13"/>
        <v>11576.32</v>
      </c>
      <c r="F432" s="94">
        <v>20000</v>
      </c>
      <c r="G432" s="106">
        <v>8000</v>
      </c>
    </row>
    <row r="433" spans="1:7" x14ac:dyDescent="0.25">
      <c r="A433" s="51" t="s">
        <v>527</v>
      </c>
      <c r="B433" s="84" t="s">
        <v>528</v>
      </c>
      <c r="C433" s="53">
        <v>1</v>
      </c>
      <c r="D433" s="54">
        <v>9600</v>
      </c>
      <c r="E433" s="15">
        <f t="shared" si="13"/>
        <v>11424</v>
      </c>
      <c r="F433" s="55">
        <v>20000</v>
      </c>
      <c r="G433" s="106">
        <v>8000</v>
      </c>
    </row>
    <row r="434" spans="1:7" x14ac:dyDescent="0.25">
      <c r="A434" s="51" t="s">
        <v>527</v>
      </c>
      <c r="B434" s="84" t="s">
        <v>529</v>
      </c>
      <c r="C434" s="53">
        <v>1</v>
      </c>
      <c r="D434" s="54">
        <v>10330</v>
      </c>
      <c r="E434" s="63">
        <f t="shared" si="13"/>
        <v>12292.7</v>
      </c>
      <c r="F434" s="55">
        <v>22000</v>
      </c>
      <c r="G434" s="106">
        <v>8000</v>
      </c>
    </row>
    <row r="435" spans="1:7" x14ac:dyDescent="0.25">
      <c r="A435" s="51" t="s">
        <v>530</v>
      </c>
      <c r="B435" s="84" t="s">
        <v>113</v>
      </c>
      <c r="C435" s="53">
        <v>3</v>
      </c>
      <c r="D435" s="54">
        <v>5361</v>
      </c>
      <c r="E435" s="63">
        <f t="shared" si="13"/>
        <v>6379.59</v>
      </c>
      <c r="F435" s="55">
        <v>10000</v>
      </c>
      <c r="G435" s="106">
        <v>8000</v>
      </c>
    </row>
    <row r="436" spans="1:7" x14ac:dyDescent="0.25">
      <c r="A436" s="51" t="s">
        <v>531</v>
      </c>
      <c r="B436" s="84" t="s">
        <v>532</v>
      </c>
      <c r="C436" s="53">
        <v>3</v>
      </c>
      <c r="D436" s="90">
        <v>10000</v>
      </c>
      <c r="E436" s="40">
        <v>10000</v>
      </c>
      <c r="F436" s="90">
        <v>16000</v>
      </c>
      <c r="G436" s="4"/>
    </row>
    <row r="437" spans="1:7" x14ac:dyDescent="0.25">
      <c r="A437" s="51" t="s">
        <v>533</v>
      </c>
      <c r="B437" s="84" t="s">
        <v>514</v>
      </c>
      <c r="C437" s="53">
        <v>3</v>
      </c>
      <c r="D437" s="54">
        <v>4190</v>
      </c>
      <c r="E437" s="15">
        <f>D437+(D437*19%)</f>
        <v>4986.1000000000004</v>
      </c>
      <c r="F437" s="55">
        <v>10000</v>
      </c>
      <c r="G437" s="4"/>
    </row>
    <row r="438" spans="1:7" x14ac:dyDescent="0.25">
      <c r="A438" s="51" t="s">
        <v>534</v>
      </c>
      <c r="B438" s="84" t="s">
        <v>33</v>
      </c>
      <c r="C438" s="53">
        <v>1</v>
      </c>
      <c r="D438" s="54">
        <v>10600</v>
      </c>
      <c r="E438" s="14">
        <v>10600</v>
      </c>
      <c r="F438" s="90">
        <v>18000</v>
      </c>
      <c r="G438" s="4"/>
    </row>
    <row r="439" spans="1:7" x14ac:dyDescent="0.25">
      <c r="A439" s="51" t="s">
        <v>535</v>
      </c>
      <c r="B439" s="84" t="s">
        <v>33</v>
      </c>
      <c r="C439" s="53">
        <v>4</v>
      </c>
      <c r="D439" s="90">
        <v>10600</v>
      </c>
      <c r="E439" s="40">
        <v>10600</v>
      </c>
      <c r="F439" s="90">
        <v>18000</v>
      </c>
      <c r="G439" s="4"/>
    </row>
    <row r="440" spans="1:7" x14ac:dyDescent="0.25">
      <c r="A440" s="51" t="s">
        <v>536</v>
      </c>
      <c r="B440" s="84" t="s">
        <v>33</v>
      </c>
      <c r="C440" s="77" t="s">
        <v>8</v>
      </c>
      <c r="D440" s="54">
        <v>10600</v>
      </c>
      <c r="E440" s="54">
        <v>10600</v>
      </c>
      <c r="F440" s="90">
        <v>18000</v>
      </c>
      <c r="G440" s="4"/>
    </row>
    <row r="441" spans="1:7" x14ac:dyDescent="0.25">
      <c r="A441" s="51" t="s">
        <v>537</v>
      </c>
      <c r="B441" s="84" t="s">
        <v>33</v>
      </c>
      <c r="C441" s="53">
        <v>3</v>
      </c>
      <c r="D441" s="90">
        <v>10600</v>
      </c>
      <c r="E441" s="40">
        <v>10600</v>
      </c>
      <c r="F441" s="90">
        <v>18000</v>
      </c>
      <c r="G441" s="4"/>
    </row>
    <row r="442" spans="1:7" x14ac:dyDescent="0.25">
      <c r="A442" s="51" t="s">
        <v>538</v>
      </c>
      <c r="B442" s="84" t="s">
        <v>33</v>
      </c>
      <c r="C442" s="60">
        <v>20</v>
      </c>
      <c r="D442" s="54">
        <v>700</v>
      </c>
      <c r="E442" s="14">
        <v>700</v>
      </c>
      <c r="F442" s="61">
        <v>1000</v>
      </c>
      <c r="G442" s="4"/>
    </row>
    <row r="443" spans="1:7" x14ac:dyDescent="0.25">
      <c r="A443" s="108" t="s">
        <v>539</v>
      </c>
      <c r="B443" s="109" t="s">
        <v>540</v>
      </c>
      <c r="C443" s="110">
        <v>6</v>
      </c>
      <c r="D443" s="111">
        <v>8000</v>
      </c>
      <c r="E443" s="15">
        <f t="shared" ref="E443:E450" si="14">D443+(D443*19%)</f>
        <v>9520</v>
      </c>
      <c r="F443" s="112">
        <v>17000</v>
      </c>
      <c r="G443" s="25"/>
    </row>
    <row r="444" spans="1:7" x14ac:dyDescent="0.25">
      <c r="A444" s="51" t="s">
        <v>539</v>
      </c>
      <c r="B444" s="84" t="s">
        <v>541</v>
      </c>
      <c r="C444" s="53">
        <v>8</v>
      </c>
      <c r="D444" s="90">
        <v>4639</v>
      </c>
      <c r="E444" s="15">
        <f t="shared" si="14"/>
        <v>5520.41</v>
      </c>
      <c r="F444" s="90">
        <v>12000</v>
      </c>
      <c r="G444" s="4"/>
    </row>
    <row r="445" spans="1:7" x14ac:dyDescent="0.25">
      <c r="A445" s="108" t="s">
        <v>539</v>
      </c>
      <c r="B445" s="109" t="s">
        <v>542</v>
      </c>
      <c r="C445" s="110">
        <v>4</v>
      </c>
      <c r="D445" s="111">
        <v>5000</v>
      </c>
      <c r="E445" s="15">
        <f t="shared" si="14"/>
        <v>5950</v>
      </c>
      <c r="F445" s="112">
        <v>10000</v>
      </c>
      <c r="G445" s="4"/>
    </row>
    <row r="446" spans="1:7" x14ac:dyDescent="0.25">
      <c r="A446" s="51" t="s">
        <v>543</v>
      </c>
      <c r="B446" s="84" t="s">
        <v>544</v>
      </c>
      <c r="C446" s="53">
        <v>7</v>
      </c>
      <c r="D446" s="90">
        <v>4200</v>
      </c>
      <c r="E446" s="15">
        <f t="shared" si="14"/>
        <v>4998</v>
      </c>
      <c r="F446" s="90">
        <v>12000</v>
      </c>
      <c r="G446" s="4"/>
    </row>
    <row r="447" spans="1:7" x14ac:dyDescent="0.25">
      <c r="A447" s="51" t="s">
        <v>543</v>
      </c>
      <c r="B447" s="52" t="s">
        <v>545</v>
      </c>
      <c r="C447" s="53">
        <v>3</v>
      </c>
      <c r="D447" s="54">
        <v>4250</v>
      </c>
      <c r="E447" s="15">
        <f t="shared" si="14"/>
        <v>5057.5</v>
      </c>
      <c r="F447" s="55">
        <v>12000</v>
      </c>
      <c r="G447" s="4"/>
    </row>
    <row r="448" spans="1:7" x14ac:dyDescent="0.25">
      <c r="A448" s="51" t="s">
        <v>543</v>
      </c>
      <c r="B448" s="84" t="s">
        <v>546</v>
      </c>
      <c r="C448" s="60">
        <v>8</v>
      </c>
      <c r="D448" s="54">
        <v>4481</v>
      </c>
      <c r="E448" s="15">
        <f t="shared" si="14"/>
        <v>5332.39</v>
      </c>
      <c r="F448" s="61">
        <v>13000</v>
      </c>
      <c r="G448" s="4"/>
    </row>
    <row r="449" spans="1:8" x14ac:dyDescent="0.25">
      <c r="A449" s="51" t="s">
        <v>543</v>
      </c>
      <c r="B449" s="52" t="s">
        <v>547</v>
      </c>
      <c r="C449" s="53">
        <v>4</v>
      </c>
      <c r="D449" s="54">
        <v>3790</v>
      </c>
      <c r="E449" s="15">
        <f t="shared" si="14"/>
        <v>4510.1000000000004</v>
      </c>
      <c r="F449" s="55">
        <v>12000</v>
      </c>
      <c r="G449" s="4"/>
    </row>
    <row r="450" spans="1:8" x14ac:dyDescent="0.25">
      <c r="A450" s="51" t="s">
        <v>543</v>
      </c>
      <c r="B450" s="52" t="s">
        <v>548</v>
      </c>
      <c r="C450" s="53">
        <v>5</v>
      </c>
      <c r="D450" s="54">
        <v>4021</v>
      </c>
      <c r="E450" s="15">
        <f t="shared" si="14"/>
        <v>4784.99</v>
      </c>
      <c r="F450" s="55">
        <v>15000</v>
      </c>
      <c r="G450" s="4"/>
    </row>
    <row r="451" spans="1:8" ht="30" x14ac:dyDescent="0.25">
      <c r="A451" s="51" t="s">
        <v>549</v>
      </c>
      <c r="B451" s="52" t="s">
        <v>550</v>
      </c>
      <c r="C451" s="60">
        <v>7</v>
      </c>
      <c r="D451" s="61">
        <v>4400</v>
      </c>
      <c r="E451" s="16">
        <v>4400</v>
      </c>
      <c r="F451" s="61">
        <v>13000</v>
      </c>
      <c r="G451" s="4"/>
    </row>
    <row r="452" spans="1:8" x14ac:dyDescent="0.25">
      <c r="A452" s="51" t="s">
        <v>549</v>
      </c>
      <c r="B452" s="52" t="s">
        <v>551</v>
      </c>
      <c r="C452" s="60">
        <v>7</v>
      </c>
      <c r="D452" s="61">
        <v>4600</v>
      </c>
      <c r="E452" s="16">
        <v>4600</v>
      </c>
      <c r="F452" s="61">
        <v>14000</v>
      </c>
      <c r="G452" s="4"/>
    </row>
    <row r="453" spans="1:8" ht="30" x14ac:dyDescent="0.25">
      <c r="A453" s="51" t="s">
        <v>549</v>
      </c>
      <c r="B453" s="52" t="s">
        <v>552</v>
      </c>
      <c r="C453" s="60">
        <v>4</v>
      </c>
      <c r="D453" s="61">
        <v>4400</v>
      </c>
      <c r="E453" s="16">
        <v>4400</v>
      </c>
      <c r="F453" s="61">
        <v>14000</v>
      </c>
      <c r="G453" s="4"/>
    </row>
    <row r="454" spans="1:8" x14ac:dyDescent="0.25">
      <c r="A454" s="51" t="s">
        <v>549</v>
      </c>
      <c r="B454" s="84" t="s">
        <v>546</v>
      </c>
      <c r="C454" s="60">
        <v>2</v>
      </c>
      <c r="D454" s="61">
        <v>4400</v>
      </c>
      <c r="E454" s="16">
        <v>4400</v>
      </c>
      <c r="F454" s="61">
        <v>13000</v>
      </c>
      <c r="G454" s="4"/>
    </row>
    <row r="455" spans="1:8" x14ac:dyDescent="0.25">
      <c r="A455" s="51" t="s">
        <v>549</v>
      </c>
      <c r="B455" s="84" t="s">
        <v>553</v>
      </c>
      <c r="C455" s="60">
        <v>2</v>
      </c>
      <c r="D455" s="61">
        <v>4800</v>
      </c>
      <c r="E455" s="16">
        <v>4800</v>
      </c>
      <c r="F455" s="61">
        <v>13000</v>
      </c>
      <c r="G455" s="78">
        <f>(D455/5)</f>
        <v>960</v>
      </c>
      <c r="H455" s="5" t="s">
        <v>554</v>
      </c>
    </row>
    <row r="456" spans="1:8" x14ac:dyDescent="0.25">
      <c r="A456" s="108" t="s">
        <v>555</v>
      </c>
      <c r="B456" s="109" t="s">
        <v>556</v>
      </c>
      <c r="C456" s="110">
        <v>1</v>
      </c>
      <c r="D456" s="111">
        <v>7300</v>
      </c>
      <c r="E456" s="113">
        <v>7300</v>
      </c>
      <c r="F456" s="112">
        <v>15000</v>
      </c>
      <c r="G456" s="78">
        <f>(D456/4)</f>
        <v>1825</v>
      </c>
      <c r="H456" s="5" t="s">
        <v>554</v>
      </c>
    </row>
    <row r="457" spans="1:8" x14ac:dyDescent="0.25">
      <c r="A457" s="108" t="s">
        <v>557</v>
      </c>
      <c r="B457" s="114" t="s">
        <v>558</v>
      </c>
      <c r="C457" s="77" t="s">
        <v>8</v>
      </c>
      <c r="D457" s="111">
        <v>12000</v>
      </c>
      <c r="E457" s="113">
        <v>12000</v>
      </c>
      <c r="F457" s="112">
        <v>17000</v>
      </c>
      <c r="G457" s="78">
        <f>(D457/4)</f>
        <v>3000</v>
      </c>
      <c r="H457" s="5" t="s">
        <v>554</v>
      </c>
    </row>
    <row r="458" spans="1:8" x14ac:dyDescent="0.25">
      <c r="A458" s="51" t="s">
        <v>559</v>
      </c>
      <c r="B458" s="84" t="s">
        <v>436</v>
      </c>
      <c r="C458" s="53">
        <v>4</v>
      </c>
      <c r="D458" s="54">
        <v>4590</v>
      </c>
      <c r="E458" s="15">
        <f>D458+(D458*19%)</f>
        <v>5462.1</v>
      </c>
      <c r="F458" s="55">
        <v>13000</v>
      </c>
      <c r="G458" s="78">
        <f>(D458/5)</f>
        <v>918</v>
      </c>
      <c r="H458" s="5" t="s">
        <v>554</v>
      </c>
    </row>
    <row r="459" spans="1:8" x14ac:dyDescent="0.25">
      <c r="A459" s="51" t="s">
        <v>559</v>
      </c>
      <c r="B459" s="84" t="s">
        <v>560</v>
      </c>
      <c r="C459" s="53">
        <v>4</v>
      </c>
      <c r="D459" s="54">
        <v>4639</v>
      </c>
      <c r="E459" s="15">
        <f>D459+(D459*19%)</f>
        <v>5520.41</v>
      </c>
      <c r="F459" s="55">
        <v>12000</v>
      </c>
      <c r="G459" s="4"/>
    </row>
    <row r="460" spans="1:8" x14ac:dyDescent="0.25">
      <c r="A460" s="51" t="s">
        <v>561</v>
      </c>
      <c r="B460" s="84" t="s">
        <v>562</v>
      </c>
      <c r="C460" s="53">
        <v>6</v>
      </c>
      <c r="D460" s="54">
        <v>3499</v>
      </c>
      <c r="E460" s="15">
        <f>D460+(D460*19%)</f>
        <v>4163.8100000000004</v>
      </c>
      <c r="F460" s="55">
        <v>13000</v>
      </c>
      <c r="G460" s="4"/>
    </row>
    <row r="461" spans="1:8" ht="30" x14ac:dyDescent="0.25">
      <c r="A461" s="108" t="s">
        <v>563</v>
      </c>
      <c r="B461" s="109" t="s">
        <v>564</v>
      </c>
      <c r="C461" s="77" t="s">
        <v>8</v>
      </c>
      <c r="D461" s="111">
        <v>5600</v>
      </c>
      <c r="E461" s="113">
        <v>5600</v>
      </c>
      <c r="F461" s="112">
        <v>12000</v>
      </c>
      <c r="G461" s="4"/>
    </row>
    <row r="462" spans="1:8" x14ac:dyDescent="0.25">
      <c r="A462" s="115" t="s">
        <v>565</v>
      </c>
      <c r="B462" s="116" t="s">
        <v>317</v>
      </c>
      <c r="C462" s="110">
        <v>2</v>
      </c>
      <c r="D462" s="112">
        <v>13700</v>
      </c>
      <c r="E462" s="117">
        <v>13700</v>
      </c>
      <c r="F462" s="112">
        <v>18000</v>
      </c>
      <c r="G462" s="4"/>
    </row>
    <row r="463" spans="1:8" x14ac:dyDescent="0.25">
      <c r="A463" s="108" t="s">
        <v>566</v>
      </c>
      <c r="B463" s="109" t="s">
        <v>567</v>
      </c>
      <c r="C463" s="110">
        <v>2</v>
      </c>
      <c r="D463" s="111">
        <v>5000</v>
      </c>
      <c r="E463" s="113">
        <v>5000</v>
      </c>
      <c r="F463" s="112">
        <v>13000</v>
      </c>
      <c r="G463" s="4"/>
    </row>
    <row r="464" spans="1:8" x14ac:dyDescent="0.25">
      <c r="A464" s="108" t="s">
        <v>568</v>
      </c>
      <c r="B464" s="109" t="s">
        <v>569</v>
      </c>
      <c r="C464" s="110">
        <v>4</v>
      </c>
      <c r="D464" s="111">
        <v>8000</v>
      </c>
      <c r="E464" s="63">
        <f>D464+(D464*19%)</f>
        <v>9520</v>
      </c>
      <c r="F464" s="112">
        <v>14000</v>
      </c>
      <c r="G464" s="4"/>
    </row>
    <row r="465" spans="1:7" ht="30" x14ac:dyDescent="0.25">
      <c r="A465" s="51" t="s">
        <v>570</v>
      </c>
      <c r="B465" s="84" t="s">
        <v>571</v>
      </c>
      <c r="C465" s="53">
        <v>3</v>
      </c>
      <c r="D465" s="54">
        <v>4400</v>
      </c>
      <c r="E465" s="15">
        <f>D465+(D465*19%)</f>
        <v>5236</v>
      </c>
      <c r="F465" s="61">
        <v>13000</v>
      </c>
      <c r="G465" s="4"/>
    </row>
    <row r="466" spans="1:7" ht="30" x14ac:dyDescent="0.25">
      <c r="A466" s="108" t="s">
        <v>572</v>
      </c>
      <c r="B466" s="109" t="s">
        <v>573</v>
      </c>
      <c r="C466" s="110">
        <v>1</v>
      </c>
      <c r="D466" s="111">
        <v>8000</v>
      </c>
      <c r="E466" s="111">
        <v>8000</v>
      </c>
      <c r="F466" s="112">
        <v>15000</v>
      </c>
      <c r="G466" s="4"/>
    </row>
    <row r="467" spans="1:7" x14ac:dyDescent="0.25">
      <c r="A467" s="115" t="s">
        <v>574</v>
      </c>
      <c r="B467" s="116" t="s">
        <v>575</v>
      </c>
      <c r="C467" s="77" t="s">
        <v>8</v>
      </c>
      <c r="D467" s="112">
        <v>20000</v>
      </c>
      <c r="E467" s="112">
        <v>20000</v>
      </c>
      <c r="F467" s="112">
        <v>25000</v>
      </c>
      <c r="G467" s="4"/>
    </row>
    <row r="468" spans="1:7" ht="30" x14ac:dyDescent="0.25">
      <c r="A468" s="118" t="s">
        <v>576</v>
      </c>
      <c r="B468" s="116" t="s">
        <v>577</v>
      </c>
      <c r="C468" s="110">
        <v>10</v>
      </c>
      <c r="D468" s="112">
        <v>4300</v>
      </c>
      <c r="E468" s="63">
        <f>D468+(D468*19%)</f>
        <v>5117</v>
      </c>
      <c r="F468" s="112">
        <v>13000</v>
      </c>
      <c r="G468" s="4"/>
    </row>
    <row r="469" spans="1:7" ht="30" x14ac:dyDescent="0.25">
      <c r="A469" s="118" t="s">
        <v>576</v>
      </c>
      <c r="B469" s="116" t="s">
        <v>578</v>
      </c>
      <c r="C469" s="110">
        <v>6</v>
      </c>
      <c r="D469" s="112">
        <v>4300</v>
      </c>
      <c r="E469" s="63">
        <f>D469+(D469*19%)</f>
        <v>5117</v>
      </c>
      <c r="F469" s="112">
        <v>12000</v>
      </c>
      <c r="G469" s="4"/>
    </row>
    <row r="470" spans="1:7" x14ac:dyDescent="0.25">
      <c r="A470" s="118" t="s">
        <v>576</v>
      </c>
      <c r="B470" s="116" t="s">
        <v>579</v>
      </c>
      <c r="C470" s="110">
        <v>9</v>
      </c>
      <c r="D470" s="112">
        <v>4400</v>
      </c>
      <c r="E470" s="63">
        <f>D470+(D470*19%)</f>
        <v>5236</v>
      </c>
      <c r="F470" s="112">
        <v>13000</v>
      </c>
      <c r="G470" s="4"/>
    </row>
    <row r="471" spans="1:7" ht="30" x14ac:dyDescent="0.25">
      <c r="A471" s="118" t="s">
        <v>576</v>
      </c>
      <c r="B471" s="116" t="s">
        <v>580</v>
      </c>
      <c r="C471" s="60">
        <v>6</v>
      </c>
      <c r="D471" s="112">
        <v>4537</v>
      </c>
      <c r="E471" s="15">
        <f>D471+(D471*19%)</f>
        <v>5399.03</v>
      </c>
      <c r="F471" s="112">
        <v>13000</v>
      </c>
      <c r="G471" s="4"/>
    </row>
    <row r="472" spans="1:7" ht="30" x14ac:dyDescent="0.25">
      <c r="A472" s="115" t="s">
        <v>581</v>
      </c>
      <c r="B472" s="116" t="s">
        <v>582</v>
      </c>
      <c r="C472" s="110">
        <v>6</v>
      </c>
      <c r="D472" s="112">
        <v>4250</v>
      </c>
      <c r="E472" s="15">
        <f>D472+(D472*19%)</f>
        <v>5057.5</v>
      </c>
      <c r="F472" s="112">
        <v>13000</v>
      </c>
      <c r="G472" s="4"/>
    </row>
    <row r="473" spans="1:7" ht="30" x14ac:dyDescent="0.25">
      <c r="A473" s="115" t="s">
        <v>583</v>
      </c>
      <c r="B473" s="116" t="s">
        <v>584</v>
      </c>
      <c r="C473" s="110">
        <v>4</v>
      </c>
      <c r="D473" s="112">
        <v>4900</v>
      </c>
      <c r="E473" s="117">
        <v>4900</v>
      </c>
      <c r="F473" s="112">
        <v>14000</v>
      </c>
      <c r="G473" s="4"/>
    </row>
    <row r="474" spans="1:7" x14ac:dyDescent="0.25">
      <c r="A474" s="85" t="s">
        <v>585</v>
      </c>
      <c r="B474" s="86" t="s">
        <v>290</v>
      </c>
      <c r="C474" s="87">
        <v>6</v>
      </c>
      <c r="D474" s="119">
        <v>8900</v>
      </c>
      <c r="E474" s="15">
        <f t="shared" ref="E474:E509" si="15">D474+(D474*19%)</f>
        <v>10591</v>
      </c>
      <c r="F474" s="99">
        <v>15000</v>
      </c>
      <c r="G474" s="4"/>
    </row>
    <row r="475" spans="1:7" x14ac:dyDescent="0.25">
      <c r="A475" s="85" t="s">
        <v>585</v>
      </c>
      <c r="B475" s="86" t="s">
        <v>586</v>
      </c>
      <c r="C475" s="53">
        <v>3</v>
      </c>
      <c r="D475" s="54">
        <v>8650</v>
      </c>
      <c r="E475" s="15">
        <f t="shared" si="15"/>
        <v>10293.5</v>
      </c>
      <c r="F475" s="99">
        <v>15000</v>
      </c>
      <c r="G475" s="4"/>
    </row>
    <row r="476" spans="1:7" x14ac:dyDescent="0.25">
      <c r="A476" s="85" t="s">
        <v>585</v>
      </c>
      <c r="B476" s="88" t="s">
        <v>587</v>
      </c>
      <c r="C476" s="53">
        <v>2</v>
      </c>
      <c r="D476" s="54">
        <v>7980</v>
      </c>
      <c r="E476" s="15">
        <f t="shared" si="15"/>
        <v>9496.2000000000007</v>
      </c>
      <c r="F476" s="99">
        <v>15000</v>
      </c>
      <c r="G476" s="4"/>
    </row>
    <row r="477" spans="1:7" x14ac:dyDescent="0.25">
      <c r="A477" s="85" t="s">
        <v>585</v>
      </c>
      <c r="B477" s="88" t="s">
        <v>588</v>
      </c>
      <c r="C477" s="53">
        <v>2</v>
      </c>
      <c r="D477" s="54">
        <v>8900</v>
      </c>
      <c r="E477" s="15">
        <f t="shared" si="15"/>
        <v>10591</v>
      </c>
      <c r="F477" s="99">
        <v>18000</v>
      </c>
      <c r="G477" s="4"/>
    </row>
    <row r="478" spans="1:7" x14ac:dyDescent="0.25">
      <c r="A478" s="85" t="s">
        <v>585</v>
      </c>
      <c r="B478" s="88" t="s">
        <v>589</v>
      </c>
      <c r="C478" s="53">
        <v>2</v>
      </c>
      <c r="D478" s="54">
        <v>8900</v>
      </c>
      <c r="E478" s="15">
        <f t="shared" si="15"/>
        <v>10591</v>
      </c>
      <c r="F478" s="99">
        <v>18000</v>
      </c>
      <c r="G478" s="4"/>
    </row>
    <row r="479" spans="1:7" x14ac:dyDescent="0.25">
      <c r="A479" s="85" t="s">
        <v>585</v>
      </c>
      <c r="B479" s="88" t="s">
        <v>179</v>
      </c>
      <c r="C479" s="53">
        <v>3</v>
      </c>
      <c r="D479" s="54">
        <v>9700</v>
      </c>
      <c r="E479" s="15">
        <f t="shared" si="15"/>
        <v>11543</v>
      </c>
      <c r="F479" s="99">
        <v>20000</v>
      </c>
      <c r="G479" s="4"/>
    </row>
    <row r="480" spans="1:7" x14ac:dyDescent="0.25">
      <c r="A480" s="85" t="s">
        <v>585</v>
      </c>
      <c r="B480" s="88" t="s">
        <v>171</v>
      </c>
      <c r="C480" s="53">
        <v>3</v>
      </c>
      <c r="D480" s="54">
        <v>14370</v>
      </c>
      <c r="E480" s="63">
        <f t="shared" si="15"/>
        <v>17100.3</v>
      </c>
      <c r="F480" s="99">
        <v>25000</v>
      </c>
      <c r="G480" s="4"/>
    </row>
    <row r="481" spans="1:7" x14ac:dyDescent="0.25">
      <c r="A481" s="51" t="s">
        <v>590</v>
      </c>
      <c r="B481" s="84" t="s">
        <v>386</v>
      </c>
      <c r="C481" s="60">
        <v>1</v>
      </c>
      <c r="D481" s="90">
        <v>20200</v>
      </c>
      <c r="E481" s="63">
        <f t="shared" si="15"/>
        <v>24038</v>
      </c>
      <c r="F481" s="90">
        <v>34000</v>
      </c>
      <c r="G481" s="4"/>
    </row>
    <row r="482" spans="1:7" x14ac:dyDescent="0.25">
      <c r="A482" s="51" t="s">
        <v>590</v>
      </c>
      <c r="B482" s="84" t="s">
        <v>591</v>
      </c>
      <c r="C482" s="53">
        <v>3</v>
      </c>
      <c r="D482" s="90">
        <v>8898</v>
      </c>
      <c r="E482" s="15">
        <f t="shared" si="15"/>
        <v>10588.62</v>
      </c>
      <c r="F482" s="90">
        <v>16000</v>
      </c>
      <c r="G482" s="4"/>
    </row>
    <row r="483" spans="1:7" x14ac:dyDescent="0.25">
      <c r="A483" s="51" t="s">
        <v>592</v>
      </c>
      <c r="B483" s="84" t="s">
        <v>386</v>
      </c>
      <c r="C483" s="53">
        <v>1</v>
      </c>
      <c r="D483" s="90">
        <v>13200</v>
      </c>
      <c r="E483" s="15">
        <f t="shared" si="15"/>
        <v>15708</v>
      </c>
      <c r="F483" s="90">
        <v>22000</v>
      </c>
      <c r="G483" s="4" t="s">
        <v>309</v>
      </c>
    </row>
    <row r="484" spans="1:7" x14ac:dyDescent="0.25">
      <c r="A484" s="51" t="s">
        <v>592</v>
      </c>
      <c r="B484" s="84" t="s">
        <v>290</v>
      </c>
      <c r="C484" s="53">
        <v>3</v>
      </c>
      <c r="D484" s="90">
        <v>12500</v>
      </c>
      <c r="E484" s="15">
        <f t="shared" si="15"/>
        <v>14875</v>
      </c>
      <c r="F484" s="90">
        <v>22000</v>
      </c>
      <c r="G484" s="4"/>
    </row>
    <row r="485" spans="1:7" x14ac:dyDescent="0.25">
      <c r="A485" s="51" t="s">
        <v>593</v>
      </c>
      <c r="B485" s="84" t="s">
        <v>60</v>
      </c>
      <c r="C485" s="53">
        <v>2</v>
      </c>
      <c r="D485" s="54">
        <v>21344</v>
      </c>
      <c r="E485" s="63">
        <f t="shared" si="15"/>
        <v>25399.360000000001</v>
      </c>
      <c r="F485" s="55">
        <v>42000</v>
      </c>
      <c r="G485" s="4"/>
    </row>
    <row r="486" spans="1:7" x14ac:dyDescent="0.25">
      <c r="A486" s="51" t="s">
        <v>594</v>
      </c>
      <c r="B486" s="84" t="s">
        <v>595</v>
      </c>
      <c r="C486" s="53">
        <v>16</v>
      </c>
      <c r="D486" s="54">
        <v>1572</v>
      </c>
      <c r="E486" s="63">
        <f t="shared" si="15"/>
        <v>1870.68</v>
      </c>
      <c r="F486" s="54">
        <v>4000</v>
      </c>
      <c r="G486" s="4"/>
    </row>
    <row r="487" spans="1:7" x14ac:dyDescent="0.25">
      <c r="A487" s="51" t="s">
        <v>594</v>
      </c>
      <c r="B487" s="84" t="s">
        <v>596</v>
      </c>
      <c r="C487" s="53">
        <v>4</v>
      </c>
      <c r="D487" s="54">
        <v>2074</v>
      </c>
      <c r="E487" s="63">
        <f t="shared" si="15"/>
        <v>2468.06</v>
      </c>
      <c r="F487" s="54">
        <v>6000</v>
      </c>
      <c r="G487" s="4"/>
    </row>
    <row r="488" spans="1:7" x14ac:dyDescent="0.25">
      <c r="A488" s="51" t="s">
        <v>594</v>
      </c>
      <c r="B488" s="84" t="s">
        <v>597</v>
      </c>
      <c r="C488" s="53">
        <v>4</v>
      </c>
      <c r="D488" s="54">
        <v>5498</v>
      </c>
      <c r="E488" s="15">
        <f t="shared" si="15"/>
        <v>6542.62</v>
      </c>
      <c r="F488" s="55">
        <v>12000</v>
      </c>
      <c r="G488" s="4"/>
    </row>
    <row r="489" spans="1:7" x14ac:dyDescent="0.25">
      <c r="A489" s="51" t="s">
        <v>594</v>
      </c>
      <c r="B489" s="84" t="s">
        <v>598</v>
      </c>
      <c r="C489" s="53">
        <v>6</v>
      </c>
      <c r="D489" s="54">
        <v>1162</v>
      </c>
      <c r="E489" s="15">
        <f t="shared" si="15"/>
        <v>1382.78</v>
      </c>
      <c r="F489" s="54">
        <v>4000</v>
      </c>
      <c r="G489" s="4"/>
    </row>
    <row r="490" spans="1:7" x14ac:dyDescent="0.25">
      <c r="A490" s="51" t="s">
        <v>599</v>
      </c>
      <c r="B490" s="84" t="s">
        <v>600</v>
      </c>
      <c r="C490" s="53">
        <v>3</v>
      </c>
      <c r="D490" s="99"/>
      <c r="E490" s="63">
        <f t="shared" si="15"/>
        <v>0</v>
      </c>
      <c r="F490" s="99">
        <v>5000</v>
      </c>
      <c r="G490" s="4"/>
    </row>
    <row r="491" spans="1:7" x14ac:dyDescent="0.25">
      <c r="A491" s="51" t="s">
        <v>601</v>
      </c>
      <c r="B491" s="84" t="s">
        <v>602</v>
      </c>
      <c r="C491" s="53">
        <v>5</v>
      </c>
      <c r="D491" s="54">
        <v>10101</v>
      </c>
      <c r="E491" s="63">
        <f t="shared" si="15"/>
        <v>12020.19</v>
      </c>
      <c r="F491" s="55">
        <v>25000</v>
      </c>
      <c r="G491" s="4"/>
    </row>
    <row r="492" spans="1:7" x14ac:dyDescent="0.25">
      <c r="A492" s="51" t="s">
        <v>601</v>
      </c>
      <c r="B492" s="84" t="s">
        <v>67</v>
      </c>
      <c r="C492" s="53">
        <v>6</v>
      </c>
      <c r="D492" s="54">
        <v>3304</v>
      </c>
      <c r="E492" s="15">
        <f t="shared" si="15"/>
        <v>3931.76</v>
      </c>
      <c r="F492" s="55">
        <v>8000</v>
      </c>
      <c r="G492" s="4"/>
    </row>
    <row r="493" spans="1:7" x14ac:dyDescent="0.25">
      <c r="A493" s="51" t="s">
        <v>601</v>
      </c>
      <c r="B493" s="84" t="s">
        <v>603</v>
      </c>
      <c r="C493" s="53">
        <v>2</v>
      </c>
      <c r="D493" s="54">
        <v>9222</v>
      </c>
      <c r="E493" s="15">
        <f t="shared" si="15"/>
        <v>10974.18</v>
      </c>
      <c r="F493" s="55">
        <v>22000</v>
      </c>
      <c r="G493" s="4"/>
    </row>
    <row r="494" spans="1:7" x14ac:dyDescent="0.25">
      <c r="A494" s="51" t="s">
        <v>604</v>
      </c>
      <c r="B494" s="84" t="s">
        <v>605</v>
      </c>
      <c r="C494" s="53">
        <v>6</v>
      </c>
      <c r="D494" s="54">
        <v>7500</v>
      </c>
      <c r="E494" s="15">
        <f t="shared" si="15"/>
        <v>8925</v>
      </c>
      <c r="F494" s="61">
        <v>20000</v>
      </c>
      <c r="G494" s="4"/>
    </row>
    <row r="495" spans="1:7" x14ac:dyDescent="0.25">
      <c r="A495" s="51" t="s">
        <v>606</v>
      </c>
      <c r="B495" s="84" t="s">
        <v>607</v>
      </c>
      <c r="C495" s="53">
        <v>5</v>
      </c>
      <c r="D495" s="54">
        <v>24011</v>
      </c>
      <c r="E495" s="15">
        <f t="shared" si="15"/>
        <v>28573.09</v>
      </c>
      <c r="F495" s="61">
        <v>40000</v>
      </c>
      <c r="G495" s="4"/>
    </row>
    <row r="496" spans="1:7" x14ac:dyDescent="0.25">
      <c r="A496" s="51" t="s">
        <v>608</v>
      </c>
      <c r="B496" s="84" t="s">
        <v>609</v>
      </c>
      <c r="C496" s="53">
        <v>3</v>
      </c>
      <c r="D496" s="54">
        <v>2278</v>
      </c>
      <c r="E496" s="15">
        <f t="shared" si="15"/>
        <v>2710.82</v>
      </c>
      <c r="F496" s="54">
        <v>5000</v>
      </c>
      <c r="G496" s="4"/>
    </row>
    <row r="497" spans="1:7" x14ac:dyDescent="0.25">
      <c r="A497" s="51" t="s">
        <v>610</v>
      </c>
      <c r="B497" s="84" t="s">
        <v>221</v>
      </c>
      <c r="C497" s="53">
        <v>4</v>
      </c>
      <c r="D497" s="54">
        <v>2537</v>
      </c>
      <c r="E497" s="63">
        <f t="shared" si="15"/>
        <v>3019.03</v>
      </c>
      <c r="F497" s="54">
        <v>5000</v>
      </c>
      <c r="G497" s="4"/>
    </row>
    <row r="498" spans="1:7" x14ac:dyDescent="0.25">
      <c r="A498" s="51" t="s">
        <v>610</v>
      </c>
      <c r="B498" s="84" t="s">
        <v>611</v>
      </c>
      <c r="C498" s="53">
        <v>4</v>
      </c>
      <c r="D498" s="54">
        <v>2477</v>
      </c>
      <c r="E498" s="15">
        <f t="shared" si="15"/>
        <v>2947.63</v>
      </c>
      <c r="F498" s="54">
        <v>5000</v>
      </c>
      <c r="G498" s="4"/>
    </row>
    <row r="499" spans="1:7" x14ac:dyDescent="0.25">
      <c r="A499" s="51" t="s">
        <v>610</v>
      </c>
      <c r="B499" s="84" t="s">
        <v>612</v>
      </c>
      <c r="C499" s="53">
        <v>4</v>
      </c>
      <c r="D499" s="54">
        <v>2370</v>
      </c>
      <c r="E499" s="15">
        <f t="shared" si="15"/>
        <v>2820.3</v>
      </c>
      <c r="F499" s="54">
        <v>5000</v>
      </c>
      <c r="G499" s="4">
        <v>8000</v>
      </c>
    </row>
    <row r="500" spans="1:7" ht="30" x14ac:dyDescent="0.25">
      <c r="A500" s="51" t="s">
        <v>610</v>
      </c>
      <c r="B500" s="84" t="s">
        <v>613</v>
      </c>
      <c r="C500" s="53">
        <v>2</v>
      </c>
      <c r="D500" s="54">
        <v>2511</v>
      </c>
      <c r="E500" s="15">
        <f t="shared" si="15"/>
        <v>2988.09</v>
      </c>
      <c r="F500" s="54">
        <v>5000</v>
      </c>
      <c r="G500" s="25"/>
    </row>
    <row r="501" spans="1:7" x14ac:dyDescent="0.25">
      <c r="A501" s="51" t="s">
        <v>610</v>
      </c>
      <c r="B501" s="84" t="s">
        <v>614</v>
      </c>
      <c r="C501" s="53">
        <v>3</v>
      </c>
      <c r="D501" s="54">
        <v>2328</v>
      </c>
      <c r="E501" s="15">
        <f t="shared" si="15"/>
        <v>2770.32</v>
      </c>
      <c r="F501" s="54">
        <v>5000</v>
      </c>
      <c r="G501" s="4"/>
    </row>
    <row r="502" spans="1:7" x14ac:dyDescent="0.25">
      <c r="A502" s="51" t="s">
        <v>615</v>
      </c>
      <c r="B502" s="84" t="s">
        <v>488</v>
      </c>
      <c r="C502" s="53">
        <v>3</v>
      </c>
      <c r="D502" s="54">
        <v>2481</v>
      </c>
      <c r="E502" s="15">
        <f t="shared" si="15"/>
        <v>2952.39</v>
      </c>
      <c r="F502" s="54">
        <v>5000</v>
      </c>
      <c r="G502" s="4"/>
    </row>
    <row r="503" spans="1:7" x14ac:dyDescent="0.25">
      <c r="A503" s="51" t="s">
        <v>616</v>
      </c>
      <c r="B503" s="84" t="s">
        <v>488</v>
      </c>
      <c r="C503" s="53">
        <v>3</v>
      </c>
      <c r="D503" s="54">
        <v>2141</v>
      </c>
      <c r="E503" s="15">
        <f t="shared" si="15"/>
        <v>2547.79</v>
      </c>
      <c r="F503" s="54">
        <v>5000</v>
      </c>
      <c r="G503" s="4"/>
    </row>
    <row r="504" spans="1:7" x14ac:dyDescent="0.25">
      <c r="A504" s="51" t="s">
        <v>617</v>
      </c>
      <c r="B504" s="84" t="s">
        <v>388</v>
      </c>
      <c r="C504" s="53">
        <v>3</v>
      </c>
      <c r="D504" s="54">
        <v>2596</v>
      </c>
      <c r="E504" s="15">
        <f t="shared" si="15"/>
        <v>3089.24</v>
      </c>
      <c r="F504" s="54">
        <v>6000</v>
      </c>
      <c r="G504" s="4"/>
    </row>
    <row r="505" spans="1:7" x14ac:dyDescent="0.25">
      <c r="A505" s="51" t="s">
        <v>617</v>
      </c>
      <c r="B505" s="84" t="s">
        <v>609</v>
      </c>
      <c r="C505" s="53">
        <v>3</v>
      </c>
      <c r="D505" s="54">
        <v>2744</v>
      </c>
      <c r="E505" s="15">
        <f t="shared" si="15"/>
        <v>3265.36</v>
      </c>
      <c r="F505" s="54">
        <v>6000</v>
      </c>
      <c r="G505" s="4"/>
    </row>
    <row r="506" spans="1:7" x14ac:dyDescent="0.25">
      <c r="A506" s="51" t="s">
        <v>617</v>
      </c>
      <c r="B506" s="52" t="s">
        <v>618</v>
      </c>
      <c r="C506" s="53">
        <v>6</v>
      </c>
      <c r="D506" s="54">
        <v>2565</v>
      </c>
      <c r="E506" s="15">
        <f t="shared" si="15"/>
        <v>3052.35</v>
      </c>
      <c r="F506" s="54">
        <v>6000</v>
      </c>
      <c r="G506" s="4"/>
    </row>
    <row r="507" spans="1:7" x14ac:dyDescent="0.25">
      <c r="A507" s="51" t="s">
        <v>619</v>
      </c>
      <c r="B507" s="52" t="s">
        <v>620</v>
      </c>
      <c r="C507" s="53">
        <v>2</v>
      </c>
      <c r="D507" s="54">
        <v>2964</v>
      </c>
      <c r="E507" s="15">
        <f t="shared" si="15"/>
        <v>3527.16</v>
      </c>
      <c r="F507" s="54">
        <v>8000</v>
      </c>
      <c r="G507" s="25"/>
    </row>
    <row r="508" spans="1:7" x14ac:dyDescent="0.25">
      <c r="A508" s="51" t="s">
        <v>621</v>
      </c>
      <c r="B508" s="84" t="s">
        <v>397</v>
      </c>
      <c r="C508" s="53">
        <v>1</v>
      </c>
      <c r="D508" s="99">
        <v>0</v>
      </c>
      <c r="E508" s="15">
        <f t="shared" si="15"/>
        <v>0</v>
      </c>
      <c r="F508" s="99">
        <v>15000</v>
      </c>
      <c r="G508" s="4"/>
    </row>
    <row r="509" spans="1:7" x14ac:dyDescent="0.25">
      <c r="A509" s="51" t="s">
        <v>622</v>
      </c>
      <c r="B509" s="84" t="s">
        <v>175</v>
      </c>
      <c r="C509" s="77" t="s">
        <v>8</v>
      </c>
      <c r="D509" s="99">
        <v>7550</v>
      </c>
      <c r="E509" s="15">
        <f t="shared" si="15"/>
        <v>8984.5</v>
      </c>
      <c r="F509" s="99">
        <v>14000</v>
      </c>
      <c r="G509" s="4"/>
    </row>
    <row r="510" spans="1:7" x14ac:dyDescent="0.25">
      <c r="A510" s="51" t="s">
        <v>623</v>
      </c>
      <c r="B510" s="84" t="s">
        <v>33</v>
      </c>
      <c r="C510" s="53">
        <v>5</v>
      </c>
      <c r="D510" s="54">
        <v>4000</v>
      </c>
      <c r="E510" s="15">
        <v>4000</v>
      </c>
      <c r="F510" s="54">
        <v>10000</v>
      </c>
      <c r="G510" s="4"/>
    </row>
    <row r="511" spans="1:7" x14ac:dyDescent="0.25">
      <c r="A511" s="51" t="s">
        <v>624</v>
      </c>
      <c r="B511" s="84" t="s">
        <v>625</v>
      </c>
      <c r="C511" s="60">
        <v>7</v>
      </c>
      <c r="D511" s="99">
        <v>5136</v>
      </c>
      <c r="E511" s="15">
        <f>D511+(D511*19%)</f>
        <v>6111.84</v>
      </c>
      <c r="F511" s="99">
        <v>12000</v>
      </c>
      <c r="G511" s="4"/>
    </row>
    <row r="512" spans="1:7" ht="30" x14ac:dyDescent="0.25">
      <c r="A512" s="51" t="s">
        <v>626</v>
      </c>
      <c r="B512" s="84" t="s">
        <v>627</v>
      </c>
      <c r="C512" s="77" t="s">
        <v>8</v>
      </c>
      <c r="D512" s="99">
        <v>2000</v>
      </c>
      <c r="E512" s="24">
        <v>2000</v>
      </c>
      <c r="F512" s="99">
        <v>8500</v>
      </c>
      <c r="G512" s="4"/>
    </row>
    <row r="513" spans="1:8" x14ac:dyDescent="0.25">
      <c r="A513" s="51" t="s">
        <v>628</v>
      </c>
      <c r="B513" s="84" t="s">
        <v>33</v>
      </c>
      <c r="C513" s="53">
        <v>2</v>
      </c>
      <c r="D513" s="54">
        <v>6500</v>
      </c>
      <c r="E513" s="14">
        <v>6500</v>
      </c>
      <c r="F513" s="61">
        <v>12000</v>
      </c>
      <c r="G513" s="4"/>
    </row>
    <row r="514" spans="1:8" x14ac:dyDescent="0.25">
      <c r="A514" s="51" t="s">
        <v>629</v>
      </c>
      <c r="B514" s="84" t="s">
        <v>33</v>
      </c>
      <c r="C514" s="53">
        <v>21</v>
      </c>
      <c r="D514" s="90">
        <v>4250</v>
      </c>
      <c r="E514" s="40">
        <v>4250</v>
      </c>
      <c r="F514" s="90">
        <v>10000</v>
      </c>
      <c r="G514" s="4"/>
    </row>
    <row r="515" spans="1:8" x14ac:dyDescent="0.25">
      <c r="A515" s="51" t="s">
        <v>630</v>
      </c>
      <c r="B515" s="84" t="s">
        <v>113</v>
      </c>
      <c r="C515" s="53">
        <v>3</v>
      </c>
      <c r="D515" s="54">
        <v>5381</v>
      </c>
      <c r="E515" s="15">
        <f t="shared" ref="E515:E523" si="16">D515+(D515*19%)</f>
        <v>6403.39</v>
      </c>
      <c r="F515" s="54">
        <v>10000</v>
      </c>
      <c r="G515" s="4"/>
    </row>
    <row r="516" spans="1:8" x14ac:dyDescent="0.25">
      <c r="A516" s="51" t="s">
        <v>630</v>
      </c>
      <c r="B516" s="84" t="s">
        <v>631</v>
      </c>
      <c r="C516" s="53">
        <v>2</v>
      </c>
      <c r="D516" s="54">
        <v>5287</v>
      </c>
      <c r="E516" s="15">
        <f t="shared" si="16"/>
        <v>6291.53</v>
      </c>
      <c r="F516" s="54">
        <v>12000</v>
      </c>
      <c r="G516" s="4"/>
    </row>
    <row r="517" spans="1:8" x14ac:dyDescent="0.25">
      <c r="A517" s="51" t="s">
        <v>632</v>
      </c>
      <c r="B517" s="84" t="s">
        <v>633</v>
      </c>
      <c r="C517" s="53">
        <v>6</v>
      </c>
      <c r="D517" s="54">
        <v>13950</v>
      </c>
      <c r="E517" s="15">
        <f t="shared" si="16"/>
        <v>16600.5</v>
      </c>
      <c r="F517" s="54">
        <v>30000</v>
      </c>
      <c r="G517" s="4"/>
    </row>
    <row r="518" spans="1:8" x14ac:dyDescent="0.25">
      <c r="A518" s="51" t="s">
        <v>634</v>
      </c>
      <c r="B518" s="84" t="s">
        <v>299</v>
      </c>
      <c r="C518" s="53">
        <v>2</v>
      </c>
      <c r="D518" s="54">
        <v>9375</v>
      </c>
      <c r="E518" s="15">
        <f t="shared" si="16"/>
        <v>11156.25</v>
      </c>
      <c r="F518" s="54">
        <v>18000</v>
      </c>
      <c r="G518" s="4"/>
    </row>
    <row r="519" spans="1:8" x14ac:dyDescent="0.25">
      <c r="A519" s="51" t="s">
        <v>634</v>
      </c>
      <c r="B519" s="52" t="s">
        <v>635</v>
      </c>
      <c r="C519" s="53">
        <v>4</v>
      </c>
      <c r="D519" s="54">
        <v>8450</v>
      </c>
      <c r="E519" s="15">
        <f t="shared" si="16"/>
        <v>10055.5</v>
      </c>
      <c r="F519" s="55">
        <v>18000</v>
      </c>
      <c r="G519" s="4"/>
    </row>
    <row r="520" spans="1:8" x14ac:dyDescent="0.25">
      <c r="A520" s="51" t="s">
        <v>634</v>
      </c>
      <c r="B520" s="52" t="s">
        <v>113</v>
      </c>
      <c r="C520" s="53">
        <v>3</v>
      </c>
      <c r="D520" s="54">
        <v>8800</v>
      </c>
      <c r="E520" s="15">
        <f t="shared" si="16"/>
        <v>10472</v>
      </c>
      <c r="F520" s="55">
        <v>18000</v>
      </c>
      <c r="G520" s="4"/>
    </row>
    <row r="521" spans="1:8" x14ac:dyDescent="0.25">
      <c r="A521" s="51" t="s">
        <v>636</v>
      </c>
      <c r="B521" s="52" t="s">
        <v>637</v>
      </c>
      <c r="C521" s="53">
        <v>7</v>
      </c>
      <c r="D521" s="54">
        <v>10930</v>
      </c>
      <c r="E521" s="15">
        <f t="shared" si="16"/>
        <v>13006.7</v>
      </c>
      <c r="F521" s="55">
        <v>20000</v>
      </c>
      <c r="G521" s="4"/>
    </row>
    <row r="522" spans="1:8" x14ac:dyDescent="0.25">
      <c r="A522" s="51" t="s">
        <v>638</v>
      </c>
      <c r="B522" s="52" t="s">
        <v>12</v>
      </c>
      <c r="C522" s="53">
        <v>4</v>
      </c>
      <c r="D522" s="54">
        <v>3775</v>
      </c>
      <c r="E522" s="15">
        <f t="shared" si="16"/>
        <v>4492.25</v>
      </c>
      <c r="F522" s="55">
        <v>13000</v>
      </c>
      <c r="G522" s="4"/>
    </row>
    <row r="523" spans="1:8" x14ac:dyDescent="0.25">
      <c r="A523" s="51" t="s">
        <v>638</v>
      </c>
      <c r="B523" s="52" t="s">
        <v>113</v>
      </c>
      <c r="C523" s="53">
        <v>5</v>
      </c>
      <c r="D523" s="54">
        <v>2937</v>
      </c>
      <c r="E523" s="15">
        <f t="shared" si="16"/>
        <v>3495.0299999999997</v>
      </c>
      <c r="F523" s="55">
        <v>12000</v>
      </c>
      <c r="G523" s="4"/>
    </row>
    <row r="524" spans="1:8" x14ac:dyDescent="0.25">
      <c r="A524" s="51" t="s">
        <v>638</v>
      </c>
      <c r="B524" s="52" t="s">
        <v>514</v>
      </c>
      <c r="C524" s="53">
        <v>4</v>
      </c>
      <c r="D524" s="54">
        <v>2203</v>
      </c>
      <c r="E524" s="15">
        <f>D524+(D524*19%)</f>
        <v>2621.57</v>
      </c>
      <c r="F524" s="55">
        <v>13000</v>
      </c>
      <c r="G524" s="4"/>
    </row>
    <row r="525" spans="1:8" x14ac:dyDescent="0.25">
      <c r="A525" s="51" t="s">
        <v>639</v>
      </c>
      <c r="B525" s="52" t="s">
        <v>67</v>
      </c>
      <c r="C525" s="77" t="s">
        <v>48</v>
      </c>
      <c r="D525" s="54">
        <v>48000</v>
      </c>
      <c r="E525" s="15">
        <v>48000</v>
      </c>
      <c r="F525" s="54">
        <v>80000</v>
      </c>
      <c r="G525" s="4"/>
    </row>
    <row r="526" spans="1:8" x14ac:dyDescent="0.25">
      <c r="A526" s="51" t="s">
        <v>640</v>
      </c>
      <c r="B526" s="52" t="s">
        <v>33</v>
      </c>
      <c r="C526" s="53">
        <v>3</v>
      </c>
      <c r="D526" s="54">
        <v>1700</v>
      </c>
      <c r="E526" s="15">
        <v>1700</v>
      </c>
      <c r="F526" s="55">
        <v>5000</v>
      </c>
      <c r="G526" s="4"/>
      <c r="H526" s="73"/>
    </row>
    <row r="527" spans="1:8" ht="30" x14ac:dyDescent="0.25">
      <c r="A527" s="85" t="s">
        <v>641</v>
      </c>
      <c r="B527" s="88" t="s">
        <v>642</v>
      </c>
      <c r="C527" s="77" t="s">
        <v>8</v>
      </c>
      <c r="D527" s="54">
        <v>3686</v>
      </c>
      <c r="E527" s="15">
        <f t="shared" ref="E527:E535" si="17">D527+(D527*19%)</f>
        <v>4386.34</v>
      </c>
      <c r="F527" s="99">
        <v>12500</v>
      </c>
      <c r="G527" s="4"/>
    </row>
    <row r="528" spans="1:8" ht="30" x14ac:dyDescent="0.25">
      <c r="A528" s="85" t="s">
        <v>641</v>
      </c>
      <c r="B528" s="88" t="s">
        <v>643</v>
      </c>
      <c r="C528" s="77" t="s">
        <v>8</v>
      </c>
      <c r="D528" s="54">
        <v>4072</v>
      </c>
      <c r="E528" s="15">
        <f t="shared" si="17"/>
        <v>4845.68</v>
      </c>
      <c r="F528" s="99">
        <v>12500</v>
      </c>
      <c r="G528" s="4"/>
    </row>
    <row r="529" spans="1:7" ht="30" x14ac:dyDescent="0.25">
      <c r="A529" s="85" t="s">
        <v>641</v>
      </c>
      <c r="B529" s="88" t="s">
        <v>644</v>
      </c>
      <c r="C529" s="53" t="s">
        <v>645</v>
      </c>
      <c r="D529" s="54">
        <v>4075</v>
      </c>
      <c r="E529" s="15">
        <f t="shared" si="17"/>
        <v>4849.25</v>
      </c>
      <c r="F529" s="99">
        <v>12500</v>
      </c>
      <c r="G529" s="4"/>
    </row>
    <row r="530" spans="1:7" x14ac:dyDescent="0.25">
      <c r="A530" s="85" t="s">
        <v>641</v>
      </c>
      <c r="B530" s="120" t="s">
        <v>12</v>
      </c>
      <c r="C530" s="53">
        <v>18</v>
      </c>
      <c r="D530" s="99">
        <v>4076</v>
      </c>
      <c r="E530" s="15">
        <f t="shared" si="17"/>
        <v>4850.4400000000005</v>
      </c>
      <c r="F530" s="99">
        <v>12500</v>
      </c>
      <c r="G530" s="4"/>
    </row>
    <row r="531" spans="1:7" x14ac:dyDescent="0.25">
      <c r="A531" s="85" t="s">
        <v>641</v>
      </c>
      <c r="B531" s="88" t="s">
        <v>179</v>
      </c>
      <c r="C531" s="53" t="s">
        <v>645</v>
      </c>
      <c r="D531" s="54">
        <v>5530</v>
      </c>
      <c r="E531" s="15">
        <f t="shared" si="17"/>
        <v>6580.7</v>
      </c>
      <c r="F531" s="99">
        <v>18000</v>
      </c>
      <c r="G531" s="4"/>
    </row>
    <row r="532" spans="1:7" ht="15.75" x14ac:dyDescent="0.25">
      <c r="A532" s="91" t="s">
        <v>646</v>
      </c>
      <c r="B532" s="92" t="s">
        <v>647</v>
      </c>
      <c r="C532" s="93">
        <v>6</v>
      </c>
      <c r="D532" s="94">
        <v>4098</v>
      </c>
      <c r="E532" s="15">
        <f t="shared" si="17"/>
        <v>4876.62</v>
      </c>
      <c r="F532" s="94">
        <v>15000</v>
      </c>
      <c r="G532" s="4"/>
    </row>
    <row r="533" spans="1:7" ht="15.75" x14ac:dyDescent="0.25">
      <c r="A533" s="91" t="s">
        <v>646</v>
      </c>
      <c r="B533" s="92" t="s">
        <v>648</v>
      </c>
      <c r="C533" s="93">
        <v>8</v>
      </c>
      <c r="D533" s="94">
        <v>4076</v>
      </c>
      <c r="E533" s="15">
        <f t="shared" si="17"/>
        <v>4850.4400000000005</v>
      </c>
      <c r="F533" s="94">
        <v>15000</v>
      </c>
      <c r="G533" s="4"/>
    </row>
    <row r="534" spans="1:7" ht="15.75" x14ac:dyDescent="0.25">
      <c r="A534" s="91" t="s">
        <v>646</v>
      </c>
      <c r="B534" s="92" t="s">
        <v>649</v>
      </c>
      <c r="C534" s="93">
        <v>10</v>
      </c>
      <c r="D534" s="94">
        <v>5641</v>
      </c>
      <c r="E534" s="63">
        <f t="shared" si="17"/>
        <v>6712.79</v>
      </c>
      <c r="F534" s="94">
        <v>20000</v>
      </c>
      <c r="G534" s="4"/>
    </row>
    <row r="535" spans="1:7" ht="15.75" x14ac:dyDescent="0.25">
      <c r="A535" s="91" t="s">
        <v>646</v>
      </c>
      <c r="B535" s="92" t="s">
        <v>650</v>
      </c>
      <c r="C535" s="93">
        <v>8</v>
      </c>
      <c r="D535" s="94">
        <v>5500</v>
      </c>
      <c r="E535" s="63">
        <f t="shared" si="17"/>
        <v>6545</v>
      </c>
      <c r="F535" s="94">
        <v>20000</v>
      </c>
      <c r="G535" s="4"/>
    </row>
    <row r="536" spans="1:7" x14ac:dyDescent="0.25">
      <c r="A536" s="51" t="s">
        <v>651</v>
      </c>
      <c r="B536" s="52" t="s">
        <v>652</v>
      </c>
      <c r="C536" s="53">
        <v>1</v>
      </c>
      <c r="D536" s="54">
        <v>6500</v>
      </c>
      <c r="E536" s="63">
        <v>6500</v>
      </c>
      <c r="F536" s="54">
        <v>16000</v>
      </c>
      <c r="G536" s="4"/>
    </row>
    <row r="537" spans="1:7" x14ac:dyDescent="0.25">
      <c r="A537" s="51" t="s">
        <v>651</v>
      </c>
      <c r="B537" s="52" t="s">
        <v>653</v>
      </c>
      <c r="C537" s="53">
        <v>5</v>
      </c>
      <c r="D537" s="54">
        <v>7000</v>
      </c>
      <c r="E537" s="15">
        <v>7000</v>
      </c>
      <c r="F537" s="54">
        <v>18000</v>
      </c>
      <c r="G537" s="4"/>
    </row>
    <row r="538" spans="1:7" ht="30" x14ac:dyDescent="0.25">
      <c r="A538" s="85" t="s">
        <v>654</v>
      </c>
      <c r="B538" s="88" t="s">
        <v>655</v>
      </c>
      <c r="C538" s="53">
        <v>6</v>
      </c>
      <c r="D538" s="54"/>
      <c r="E538" s="15">
        <f>D538+(D538*19%)</f>
        <v>0</v>
      </c>
      <c r="F538" s="99">
        <v>16000</v>
      </c>
      <c r="G538" s="4"/>
    </row>
    <row r="539" spans="1:7" ht="30" x14ac:dyDescent="0.25">
      <c r="A539" s="85" t="s">
        <v>656</v>
      </c>
      <c r="B539" s="88" t="s">
        <v>642</v>
      </c>
      <c r="C539" s="97">
        <v>12</v>
      </c>
      <c r="D539" s="98">
        <v>6500</v>
      </c>
      <c r="E539" s="32">
        <v>6500</v>
      </c>
      <c r="F539" s="98">
        <v>14000</v>
      </c>
      <c r="G539" s="4"/>
    </row>
    <row r="540" spans="1:7" x14ac:dyDescent="0.25">
      <c r="A540" s="85" t="s">
        <v>657</v>
      </c>
      <c r="B540" s="88" t="s">
        <v>658</v>
      </c>
      <c r="C540" s="77" t="s">
        <v>8</v>
      </c>
      <c r="D540" s="54">
        <v>0</v>
      </c>
      <c r="E540" s="15"/>
      <c r="F540" s="99">
        <v>23000</v>
      </c>
      <c r="G540" s="4"/>
    </row>
    <row r="541" spans="1:7" x14ac:dyDescent="0.25">
      <c r="A541" s="51" t="s">
        <v>659</v>
      </c>
      <c r="B541" s="52" t="s">
        <v>33</v>
      </c>
      <c r="C541" s="53">
        <v>10</v>
      </c>
      <c r="D541" s="54">
        <v>2300</v>
      </c>
      <c r="E541" s="14">
        <v>2300</v>
      </c>
      <c r="F541" s="54">
        <v>10000</v>
      </c>
      <c r="G541" s="4"/>
    </row>
    <row r="542" spans="1:7" x14ac:dyDescent="0.25">
      <c r="A542" s="51" t="s">
        <v>660</v>
      </c>
      <c r="B542" s="52" t="s">
        <v>661</v>
      </c>
      <c r="C542" s="53">
        <v>1</v>
      </c>
      <c r="D542" s="90">
        <v>2400</v>
      </c>
      <c r="E542" s="40">
        <v>2400</v>
      </c>
      <c r="F542" s="90">
        <v>10000</v>
      </c>
      <c r="G542" s="4"/>
    </row>
    <row r="543" spans="1:7" x14ac:dyDescent="0.25">
      <c r="A543" s="51" t="s">
        <v>662</v>
      </c>
      <c r="B543" s="52" t="s">
        <v>663</v>
      </c>
      <c r="C543" s="53">
        <v>9</v>
      </c>
      <c r="D543" s="54">
        <v>1249</v>
      </c>
      <c r="E543" s="15">
        <f t="shared" ref="E543:E553" si="18">D543+(D543*19%)</f>
        <v>1486.31</v>
      </c>
      <c r="F543" s="55">
        <v>5000</v>
      </c>
      <c r="G543" s="4"/>
    </row>
    <row r="544" spans="1:7" x14ac:dyDescent="0.25">
      <c r="A544" s="51" t="s">
        <v>662</v>
      </c>
      <c r="B544" s="52" t="s">
        <v>664</v>
      </c>
      <c r="C544" s="53">
        <v>10</v>
      </c>
      <c r="D544" s="54">
        <v>1202</v>
      </c>
      <c r="E544" s="15">
        <f t="shared" si="18"/>
        <v>1430.38</v>
      </c>
      <c r="F544" s="55">
        <v>5000</v>
      </c>
      <c r="G544" s="4">
        <f>(E544*2)</f>
        <v>2860.76</v>
      </c>
    </row>
    <row r="545" spans="1:7" x14ac:dyDescent="0.25">
      <c r="A545" s="51" t="s">
        <v>662</v>
      </c>
      <c r="B545" s="52" t="s">
        <v>665</v>
      </c>
      <c r="C545" s="53">
        <v>10</v>
      </c>
      <c r="D545" s="54">
        <v>1479</v>
      </c>
      <c r="E545" s="15">
        <f t="shared" si="18"/>
        <v>1760.01</v>
      </c>
      <c r="F545" s="55">
        <v>5000</v>
      </c>
      <c r="G545" s="4"/>
    </row>
    <row r="546" spans="1:7" x14ac:dyDescent="0.25">
      <c r="A546" s="51" t="s">
        <v>662</v>
      </c>
      <c r="B546" s="52" t="s">
        <v>666</v>
      </c>
      <c r="C546" s="53">
        <v>10</v>
      </c>
      <c r="D546" s="54">
        <v>1108</v>
      </c>
      <c r="E546" s="15">
        <f t="shared" si="18"/>
        <v>1318.52</v>
      </c>
      <c r="F546" s="55">
        <v>5000</v>
      </c>
      <c r="G546" s="4"/>
    </row>
    <row r="547" spans="1:7" x14ac:dyDescent="0.25">
      <c r="A547" s="51" t="s">
        <v>662</v>
      </c>
      <c r="B547" s="52" t="s">
        <v>667</v>
      </c>
      <c r="C547" s="53">
        <v>10</v>
      </c>
      <c r="D547" s="54">
        <v>1075</v>
      </c>
      <c r="E547" s="15">
        <f t="shared" si="18"/>
        <v>1279.25</v>
      </c>
      <c r="F547" s="55">
        <v>5000</v>
      </c>
      <c r="G547" s="4">
        <f>(E547*2)</f>
        <v>2558.5</v>
      </c>
    </row>
    <row r="548" spans="1:7" x14ac:dyDescent="0.25">
      <c r="A548" s="51" t="s">
        <v>662</v>
      </c>
      <c r="B548" s="52" t="s">
        <v>507</v>
      </c>
      <c r="C548" s="53">
        <v>10</v>
      </c>
      <c r="D548" s="54">
        <v>1110</v>
      </c>
      <c r="E548" s="15">
        <f t="shared" si="18"/>
        <v>1320.9</v>
      </c>
      <c r="F548" s="55">
        <v>5000</v>
      </c>
      <c r="G548" s="4"/>
    </row>
    <row r="549" spans="1:7" x14ac:dyDescent="0.25">
      <c r="A549" s="51" t="s">
        <v>662</v>
      </c>
      <c r="B549" s="52" t="s">
        <v>668</v>
      </c>
      <c r="C549" s="53">
        <v>10</v>
      </c>
      <c r="D549" s="54">
        <v>1888</v>
      </c>
      <c r="E549" s="15">
        <f t="shared" si="18"/>
        <v>2246.7200000000003</v>
      </c>
      <c r="F549" s="55">
        <v>5000</v>
      </c>
      <c r="G549" s="4"/>
    </row>
    <row r="550" spans="1:7" x14ac:dyDescent="0.25">
      <c r="A550" s="51" t="s">
        <v>662</v>
      </c>
      <c r="B550" s="52" t="s">
        <v>669</v>
      </c>
      <c r="C550" s="53">
        <v>10</v>
      </c>
      <c r="D550" s="54">
        <v>1509</v>
      </c>
      <c r="E550" s="15">
        <f t="shared" si="18"/>
        <v>1795.71</v>
      </c>
      <c r="F550" s="55">
        <v>5000</v>
      </c>
      <c r="G550" s="4">
        <f>(E550*2)</f>
        <v>3591.42</v>
      </c>
    </row>
    <row r="551" spans="1:7" x14ac:dyDescent="0.25">
      <c r="A551" s="51" t="s">
        <v>662</v>
      </c>
      <c r="B551" s="52" t="s">
        <v>400</v>
      </c>
      <c r="C551" s="53">
        <v>10</v>
      </c>
      <c r="D551" s="54">
        <v>1851</v>
      </c>
      <c r="E551" s="15">
        <f t="shared" si="18"/>
        <v>2202.69</v>
      </c>
      <c r="F551" s="55">
        <v>5000</v>
      </c>
      <c r="G551" s="25">
        <f>(E552*2)</f>
        <v>0</v>
      </c>
    </row>
    <row r="552" spans="1:7" x14ac:dyDescent="0.25">
      <c r="A552" s="51" t="s">
        <v>670</v>
      </c>
      <c r="B552" s="52" t="s">
        <v>671</v>
      </c>
      <c r="C552" s="77" t="s">
        <v>8</v>
      </c>
      <c r="D552" s="99">
        <v>0</v>
      </c>
      <c r="E552" s="15">
        <f t="shared" si="18"/>
        <v>0</v>
      </c>
      <c r="F552" s="99">
        <v>15000</v>
      </c>
      <c r="G552" s="4" t="s">
        <v>672</v>
      </c>
    </row>
    <row r="553" spans="1:7" x14ac:dyDescent="0.25">
      <c r="A553" s="51" t="s">
        <v>673</v>
      </c>
      <c r="B553" s="52" t="s">
        <v>12</v>
      </c>
      <c r="C553" s="53">
        <v>4</v>
      </c>
      <c r="D553" s="54">
        <v>4498</v>
      </c>
      <c r="E553" s="15">
        <f t="shared" si="18"/>
        <v>5352.62</v>
      </c>
      <c r="F553" s="55">
        <v>10000</v>
      </c>
      <c r="G553" s="4"/>
    </row>
    <row r="554" spans="1:7" x14ac:dyDescent="0.25">
      <c r="A554" s="51" t="s">
        <v>674</v>
      </c>
      <c r="B554" s="52" t="s">
        <v>153</v>
      </c>
      <c r="C554" s="53">
        <v>2</v>
      </c>
      <c r="D554" s="54">
        <v>2000</v>
      </c>
      <c r="E554" s="54">
        <v>2000</v>
      </c>
      <c r="F554" s="61">
        <v>5000</v>
      </c>
      <c r="G554" s="4" t="s">
        <v>672</v>
      </c>
    </row>
    <row r="555" spans="1:7" x14ac:dyDescent="0.25">
      <c r="A555" s="51" t="s">
        <v>675</v>
      </c>
      <c r="B555" s="52" t="s">
        <v>247</v>
      </c>
      <c r="C555" s="87">
        <v>2</v>
      </c>
      <c r="D555" s="99">
        <v>24697</v>
      </c>
      <c r="E555" s="63">
        <f>D555+(D555*19%)</f>
        <v>29389.43</v>
      </c>
      <c r="F555" s="99">
        <v>42000</v>
      </c>
      <c r="G555" s="4" t="s">
        <v>672</v>
      </c>
    </row>
    <row r="556" spans="1:7" x14ac:dyDescent="0.25">
      <c r="A556" s="51" t="s">
        <v>676</v>
      </c>
      <c r="B556" s="52" t="s">
        <v>290</v>
      </c>
      <c r="C556" s="53">
        <v>3</v>
      </c>
      <c r="D556" s="90">
        <v>25000</v>
      </c>
      <c r="E556" s="63">
        <f>D556+(D556*19%)</f>
        <v>29750</v>
      </c>
      <c r="F556" s="90">
        <v>37000</v>
      </c>
      <c r="G556" s="4"/>
    </row>
    <row r="557" spans="1:7" x14ac:dyDescent="0.25">
      <c r="A557" s="51" t="s">
        <v>677</v>
      </c>
      <c r="B557" s="52" t="s">
        <v>33</v>
      </c>
      <c r="C557" s="53">
        <v>2</v>
      </c>
      <c r="D557" s="54">
        <v>5000</v>
      </c>
      <c r="E557" s="14">
        <v>5000</v>
      </c>
      <c r="F557" s="54">
        <v>13000</v>
      </c>
      <c r="G557" s="4"/>
    </row>
    <row r="558" spans="1:7" x14ac:dyDescent="0.25">
      <c r="A558" s="51" t="s">
        <v>678</v>
      </c>
      <c r="B558" s="52" t="s">
        <v>33</v>
      </c>
      <c r="C558" s="53">
        <v>1</v>
      </c>
      <c r="D558" s="54">
        <v>5000</v>
      </c>
      <c r="E558" s="14">
        <v>5000</v>
      </c>
      <c r="F558" s="54">
        <v>13000</v>
      </c>
      <c r="G558" s="4"/>
    </row>
    <row r="559" spans="1:7" x14ac:dyDescent="0.25">
      <c r="A559" s="51" t="s">
        <v>679</v>
      </c>
      <c r="B559" s="52" t="s">
        <v>33</v>
      </c>
      <c r="C559" s="77" t="s">
        <v>8</v>
      </c>
      <c r="D559" s="54">
        <v>5000</v>
      </c>
      <c r="E559" s="54">
        <v>5000</v>
      </c>
      <c r="F559" s="54">
        <v>13000</v>
      </c>
      <c r="G559" s="4"/>
    </row>
    <row r="560" spans="1:7" x14ac:dyDescent="0.25">
      <c r="A560" s="51" t="s">
        <v>680</v>
      </c>
      <c r="B560" s="52" t="s">
        <v>681</v>
      </c>
      <c r="C560" s="53">
        <v>3</v>
      </c>
      <c r="D560" s="99">
        <v>20750</v>
      </c>
      <c r="E560" s="15">
        <f t="shared" ref="E560:E565" si="19">D560+(D560*19%)</f>
        <v>24692.5</v>
      </c>
      <c r="F560" s="99">
        <v>45000</v>
      </c>
      <c r="G560" s="25"/>
    </row>
    <row r="561" spans="1:8" x14ac:dyDescent="0.25">
      <c r="A561" s="51" t="s">
        <v>680</v>
      </c>
      <c r="B561" s="52" t="s">
        <v>682</v>
      </c>
      <c r="C561" s="53">
        <v>4</v>
      </c>
      <c r="D561" s="99">
        <v>25876</v>
      </c>
      <c r="E561" s="15">
        <f t="shared" si="19"/>
        <v>30792.440000000002</v>
      </c>
      <c r="F561" s="99">
        <v>40000</v>
      </c>
      <c r="G561" s="4"/>
    </row>
    <row r="562" spans="1:8" x14ac:dyDescent="0.25">
      <c r="A562" s="51" t="s">
        <v>680</v>
      </c>
      <c r="B562" s="52" t="s">
        <v>113</v>
      </c>
      <c r="C562" s="53">
        <v>4</v>
      </c>
      <c r="D562" s="99">
        <v>16750</v>
      </c>
      <c r="E562" s="63">
        <f t="shared" si="19"/>
        <v>19932.5</v>
      </c>
      <c r="F562" s="99">
        <v>26000</v>
      </c>
      <c r="G562" s="4"/>
    </row>
    <row r="563" spans="1:8" x14ac:dyDescent="0.25">
      <c r="A563" s="51" t="s">
        <v>683</v>
      </c>
      <c r="B563" s="52" t="s">
        <v>467</v>
      </c>
      <c r="C563" s="53">
        <v>1</v>
      </c>
      <c r="D563" s="99">
        <v>0</v>
      </c>
      <c r="E563" s="63">
        <f t="shared" si="19"/>
        <v>0</v>
      </c>
      <c r="F563" s="99">
        <v>26000</v>
      </c>
      <c r="G563" s="4"/>
    </row>
    <row r="564" spans="1:8" x14ac:dyDescent="0.25">
      <c r="A564" s="51" t="s">
        <v>684</v>
      </c>
      <c r="B564" s="52" t="s">
        <v>113</v>
      </c>
      <c r="C564" s="53">
        <v>3</v>
      </c>
      <c r="D564" s="99">
        <v>15052</v>
      </c>
      <c r="E564" s="63">
        <f t="shared" si="19"/>
        <v>17911.88</v>
      </c>
      <c r="F564" s="99">
        <v>26000</v>
      </c>
      <c r="G564" s="4"/>
    </row>
    <row r="565" spans="1:8" x14ac:dyDescent="0.25">
      <c r="A565" s="51" t="s">
        <v>685</v>
      </c>
      <c r="B565" s="52" t="s">
        <v>686</v>
      </c>
      <c r="C565" s="53">
        <v>2</v>
      </c>
      <c r="D565" s="54">
        <v>16000</v>
      </c>
      <c r="E565" s="15">
        <f t="shared" si="19"/>
        <v>19040</v>
      </c>
      <c r="F565" s="55">
        <v>30000</v>
      </c>
    </row>
    <row r="566" spans="1:8" x14ac:dyDescent="0.25">
      <c r="A566" s="51" t="s">
        <v>687</v>
      </c>
      <c r="B566" s="52" t="s">
        <v>688</v>
      </c>
      <c r="C566" s="53">
        <v>1</v>
      </c>
      <c r="D566" s="54">
        <v>4000</v>
      </c>
      <c r="E566" s="15">
        <v>4000</v>
      </c>
      <c r="F566" s="55">
        <v>10000</v>
      </c>
    </row>
    <row r="567" spans="1:8" x14ac:dyDescent="0.25">
      <c r="A567" s="51" t="s">
        <v>689</v>
      </c>
      <c r="B567" s="52" t="s">
        <v>690</v>
      </c>
      <c r="C567" s="53">
        <v>5</v>
      </c>
      <c r="D567" s="54">
        <v>4666</v>
      </c>
      <c r="E567" s="15">
        <f t="shared" ref="E567:E572" si="20">D567+(D567*19%)</f>
        <v>5552.54</v>
      </c>
      <c r="F567" s="55">
        <v>9000</v>
      </c>
    </row>
    <row r="568" spans="1:8" x14ac:dyDescent="0.25">
      <c r="A568" s="51" t="s">
        <v>689</v>
      </c>
      <c r="B568" s="52" t="s">
        <v>691</v>
      </c>
      <c r="C568" s="53">
        <v>5</v>
      </c>
      <c r="D568" s="54">
        <v>6990</v>
      </c>
      <c r="E568" s="15">
        <f t="shared" si="20"/>
        <v>8318.1</v>
      </c>
      <c r="F568" s="55">
        <v>12000</v>
      </c>
    </row>
    <row r="569" spans="1:8" x14ac:dyDescent="0.25">
      <c r="A569" s="51" t="s">
        <v>689</v>
      </c>
      <c r="B569" s="52" t="s">
        <v>290</v>
      </c>
      <c r="C569" s="53">
        <v>3</v>
      </c>
      <c r="D569" s="54">
        <v>1641</v>
      </c>
      <c r="E569" s="15">
        <f t="shared" si="20"/>
        <v>1952.79</v>
      </c>
      <c r="F569" s="55">
        <v>7000</v>
      </c>
    </row>
    <row r="570" spans="1:8" x14ac:dyDescent="0.25">
      <c r="A570" s="51" t="s">
        <v>689</v>
      </c>
      <c r="B570" s="52" t="s">
        <v>692</v>
      </c>
      <c r="C570" s="53">
        <v>5</v>
      </c>
      <c r="D570" s="54">
        <v>1691</v>
      </c>
      <c r="E570" s="15">
        <f t="shared" si="20"/>
        <v>2012.29</v>
      </c>
      <c r="F570" s="55">
        <v>5000</v>
      </c>
    </row>
    <row r="571" spans="1:8" x14ac:dyDescent="0.25">
      <c r="A571" s="51" t="s">
        <v>689</v>
      </c>
      <c r="B571" s="52" t="s">
        <v>122</v>
      </c>
      <c r="C571" s="53">
        <v>5</v>
      </c>
      <c r="D571" s="54">
        <v>1680</v>
      </c>
      <c r="E571" s="15">
        <f t="shared" si="20"/>
        <v>1999.2</v>
      </c>
      <c r="F571" s="55">
        <v>5000</v>
      </c>
    </row>
    <row r="572" spans="1:8" x14ac:dyDescent="0.25">
      <c r="A572" s="51" t="s">
        <v>689</v>
      </c>
      <c r="B572" s="52" t="s">
        <v>693</v>
      </c>
      <c r="C572" s="53">
        <v>5</v>
      </c>
      <c r="D572" s="54">
        <v>1835</v>
      </c>
      <c r="E572" s="15">
        <f t="shared" si="20"/>
        <v>2183.65</v>
      </c>
      <c r="F572" s="55">
        <v>5000</v>
      </c>
    </row>
    <row r="573" spans="1:8" x14ac:dyDescent="0.25">
      <c r="A573" s="51" t="s">
        <v>694</v>
      </c>
      <c r="B573" s="52" t="s">
        <v>113</v>
      </c>
      <c r="C573" s="53">
        <v>2</v>
      </c>
      <c r="D573" s="54">
        <v>12000</v>
      </c>
      <c r="E573" s="15">
        <v>12000</v>
      </c>
      <c r="F573" s="55">
        <v>22500</v>
      </c>
    </row>
    <row r="574" spans="1:8" x14ac:dyDescent="0.25">
      <c r="A574" s="51" t="s">
        <v>695</v>
      </c>
      <c r="B574" s="52" t="s">
        <v>696</v>
      </c>
      <c r="C574" s="60">
        <v>8</v>
      </c>
      <c r="D574" s="99">
        <v>2488</v>
      </c>
      <c r="E574" s="15">
        <f t="shared" ref="E574:E583" si="21">D574+(D574*19%)</f>
        <v>2960.7200000000003</v>
      </c>
      <c r="F574" s="99">
        <v>5000</v>
      </c>
    </row>
    <row r="575" spans="1:8" x14ac:dyDescent="0.25">
      <c r="A575" s="51" t="s">
        <v>695</v>
      </c>
      <c r="B575" s="52" t="s">
        <v>60</v>
      </c>
      <c r="C575" s="60">
        <v>4</v>
      </c>
      <c r="D575" s="99">
        <v>2450</v>
      </c>
      <c r="E575" s="15">
        <f t="shared" si="21"/>
        <v>2915.5</v>
      </c>
      <c r="F575" s="99">
        <v>5000</v>
      </c>
    </row>
    <row r="576" spans="1:8" x14ac:dyDescent="0.25">
      <c r="A576" s="51" t="s">
        <v>695</v>
      </c>
      <c r="B576" s="52" t="s">
        <v>697</v>
      </c>
      <c r="C576" s="53">
        <v>5</v>
      </c>
      <c r="D576" s="99">
        <v>2872</v>
      </c>
      <c r="E576" s="15">
        <f t="shared" si="21"/>
        <v>3417.68</v>
      </c>
      <c r="F576" s="99">
        <v>5000</v>
      </c>
      <c r="H576" s="121"/>
    </row>
    <row r="577" spans="1:6" x14ac:dyDescent="0.25">
      <c r="A577" s="51" t="s">
        <v>698</v>
      </c>
      <c r="B577" s="52" t="s">
        <v>699</v>
      </c>
      <c r="C577" s="53">
        <v>2</v>
      </c>
      <c r="D577" s="54">
        <v>4550</v>
      </c>
      <c r="E577" s="15">
        <f t="shared" si="21"/>
        <v>5414.5</v>
      </c>
      <c r="F577" s="61">
        <v>8500</v>
      </c>
    </row>
    <row r="578" spans="1:6" x14ac:dyDescent="0.25">
      <c r="A578" s="51" t="s">
        <v>698</v>
      </c>
      <c r="B578" s="52" t="s">
        <v>700</v>
      </c>
      <c r="C578" s="53">
        <v>3</v>
      </c>
      <c r="D578" s="54">
        <v>1790</v>
      </c>
      <c r="E578" s="15">
        <f t="shared" si="21"/>
        <v>2130.1</v>
      </c>
      <c r="F578" s="61">
        <v>4500</v>
      </c>
    </row>
    <row r="579" spans="1:6" x14ac:dyDescent="0.25">
      <c r="A579" s="51" t="s">
        <v>698</v>
      </c>
      <c r="B579" s="52" t="s">
        <v>701</v>
      </c>
      <c r="C579" s="53">
        <v>2</v>
      </c>
      <c r="D579" s="54">
        <v>1790</v>
      </c>
      <c r="E579" s="15">
        <f t="shared" si="21"/>
        <v>2130.1</v>
      </c>
      <c r="F579" s="61">
        <v>4500</v>
      </c>
    </row>
    <row r="580" spans="1:6" x14ac:dyDescent="0.25">
      <c r="A580" s="51" t="s">
        <v>698</v>
      </c>
      <c r="B580" s="52" t="s">
        <v>702</v>
      </c>
      <c r="C580" s="53">
        <v>5</v>
      </c>
      <c r="D580" s="54">
        <v>2250</v>
      </c>
      <c r="E580" s="15">
        <f t="shared" si="21"/>
        <v>2677.5</v>
      </c>
      <c r="F580" s="61">
        <v>5000</v>
      </c>
    </row>
    <row r="581" spans="1:6" x14ac:dyDescent="0.25">
      <c r="A581" s="51" t="s">
        <v>698</v>
      </c>
      <c r="B581" s="52" t="s">
        <v>703</v>
      </c>
      <c r="C581" s="53">
        <v>4</v>
      </c>
      <c r="D581" s="54">
        <v>3310</v>
      </c>
      <c r="E581" s="15">
        <f t="shared" si="21"/>
        <v>3938.9</v>
      </c>
      <c r="F581" s="61">
        <v>8000</v>
      </c>
    </row>
    <row r="582" spans="1:6" ht="15.75" thickBot="1" x14ac:dyDescent="0.3">
      <c r="A582" s="51" t="s">
        <v>698</v>
      </c>
      <c r="B582" s="122" t="s">
        <v>704</v>
      </c>
      <c r="C582" s="123">
        <v>3</v>
      </c>
      <c r="D582" s="124">
        <v>3580</v>
      </c>
      <c r="E582" s="125">
        <f t="shared" si="21"/>
        <v>4260.2</v>
      </c>
      <c r="F582" s="126">
        <v>8500</v>
      </c>
    </row>
    <row r="583" spans="1:6" ht="15.75" thickBot="1" x14ac:dyDescent="0.3">
      <c r="A583" s="127" t="s">
        <v>705</v>
      </c>
      <c r="B583" s="128" t="s">
        <v>706</v>
      </c>
      <c r="C583" s="129">
        <v>1</v>
      </c>
      <c r="D583" s="130">
        <v>0</v>
      </c>
      <c r="E583" s="131">
        <f t="shared" si="21"/>
        <v>0</v>
      </c>
      <c r="F583" s="132">
        <v>15000</v>
      </c>
    </row>
    <row r="584" spans="1:6" x14ac:dyDescent="0.25">
      <c r="A584" s="127" t="s">
        <v>707</v>
      </c>
      <c r="B584" s="133" t="s">
        <v>113</v>
      </c>
      <c r="C584" s="134">
        <v>1</v>
      </c>
      <c r="D584" s="135">
        <v>12000</v>
      </c>
      <c r="E584" s="136">
        <v>12000</v>
      </c>
      <c r="F584" s="137">
        <v>26000</v>
      </c>
    </row>
    <row r="585" spans="1:6" x14ac:dyDescent="0.25">
      <c r="A585" s="127" t="s">
        <v>708</v>
      </c>
      <c r="B585" s="133" t="s">
        <v>709</v>
      </c>
      <c r="C585" s="134">
        <v>1</v>
      </c>
      <c r="D585" s="135">
        <v>12000</v>
      </c>
      <c r="E585" s="136">
        <v>12000</v>
      </c>
      <c r="F585" s="137">
        <v>28000</v>
      </c>
    </row>
    <row r="586" spans="1:6" x14ac:dyDescent="0.25">
      <c r="A586" s="127" t="s">
        <v>710</v>
      </c>
      <c r="B586" s="133" t="s">
        <v>244</v>
      </c>
      <c r="C586" s="134">
        <v>1</v>
      </c>
      <c r="D586" s="138">
        <v>0</v>
      </c>
      <c r="E586" s="136">
        <f>D586+(D586*19%)</f>
        <v>0</v>
      </c>
      <c r="F586" s="138">
        <v>27000</v>
      </c>
    </row>
    <row r="587" spans="1:6" x14ac:dyDescent="0.25">
      <c r="A587" s="127" t="s">
        <v>711</v>
      </c>
      <c r="B587" s="133" t="s">
        <v>712</v>
      </c>
      <c r="C587" s="134">
        <v>1</v>
      </c>
      <c r="D587" s="135">
        <v>22000</v>
      </c>
      <c r="E587" s="135">
        <v>22000</v>
      </c>
      <c r="F587" s="135">
        <v>22000</v>
      </c>
    </row>
    <row r="588" spans="1:6" x14ac:dyDescent="0.25">
      <c r="B588" s="139" t="s">
        <v>713</v>
      </c>
      <c r="C588" s="134">
        <f>(SUM(C79:C587))</f>
        <v>2429</v>
      </c>
      <c r="D588" s="135">
        <v>2694907</v>
      </c>
      <c r="E588" s="136"/>
      <c r="F588" s="138">
        <v>3438500</v>
      </c>
    </row>
    <row r="589" spans="1:6" x14ac:dyDescent="0.25">
      <c r="B589" s="140"/>
      <c r="C589" s="141"/>
      <c r="D589" s="142"/>
      <c r="E589" s="143"/>
      <c r="F589" s="144"/>
    </row>
    <row r="590" spans="1:6" x14ac:dyDescent="0.25">
      <c r="B590" s="140"/>
      <c r="D590" s="142"/>
      <c r="E590" s="143"/>
      <c r="F590" s="144"/>
    </row>
    <row r="591" spans="1:6" x14ac:dyDescent="0.25">
      <c r="B591" s="140"/>
      <c r="E591" s="146"/>
      <c r="F591" s="144"/>
    </row>
    <row r="592" spans="1:6" x14ac:dyDescent="0.25">
      <c r="B592" s="140"/>
      <c r="E592" s="146"/>
      <c r="F592" s="144"/>
    </row>
    <row r="593" spans="1:8" x14ac:dyDescent="0.25">
      <c r="B593" s="140"/>
      <c r="E593" s="146"/>
      <c r="F593" s="144"/>
    </row>
    <row r="594" spans="1:8" x14ac:dyDescent="0.25">
      <c r="B594" s="140"/>
      <c r="E594" s="146"/>
      <c r="F594" s="144"/>
    </row>
    <row r="595" spans="1:8" x14ac:dyDescent="0.25">
      <c r="B595" s="140"/>
      <c r="E595" s="146"/>
      <c r="F595" s="144"/>
    </row>
    <row r="596" spans="1:8" x14ac:dyDescent="0.25">
      <c r="E596" s="146"/>
    </row>
    <row r="597" spans="1:8" x14ac:dyDescent="0.25">
      <c r="E597" s="146"/>
      <c r="H597" s="73"/>
    </row>
    <row r="598" spans="1:8" s="148" customFormat="1" x14ac:dyDescent="0.25">
      <c r="A598" s="5"/>
      <c r="B598" s="147"/>
      <c r="C598" s="145"/>
      <c r="D598" s="121"/>
      <c r="E598" s="146"/>
      <c r="F598" s="121"/>
    </row>
    <row r="599" spans="1:8" s="148" customFormat="1" x14ac:dyDescent="0.25">
      <c r="A599" s="5"/>
      <c r="B599" s="147"/>
      <c r="C599" s="145"/>
      <c r="D599" s="121"/>
      <c r="E599" s="146"/>
      <c r="F599" s="121"/>
    </row>
    <row r="600" spans="1:8" s="148" customFormat="1" x14ac:dyDescent="0.25">
      <c r="A600" s="5"/>
      <c r="B600" s="147"/>
      <c r="C600" s="145"/>
      <c r="D600" s="121"/>
      <c r="E600" s="146"/>
      <c r="F600" s="121"/>
    </row>
    <row r="601" spans="1:8" s="148" customFormat="1" x14ac:dyDescent="0.25">
      <c r="A601" s="5"/>
      <c r="B601" s="147"/>
      <c r="C601" s="145"/>
      <c r="D601" s="121"/>
      <c r="E601" s="146"/>
      <c r="F601" s="121"/>
    </row>
    <row r="602" spans="1:8" s="148" customFormat="1" x14ac:dyDescent="0.25">
      <c r="B602" s="149"/>
      <c r="C602" s="150"/>
      <c r="D602" s="151"/>
      <c r="E602" s="152"/>
      <c r="F602" s="151"/>
    </row>
    <row r="603" spans="1:8" s="148" customFormat="1" x14ac:dyDescent="0.25">
      <c r="B603" s="149"/>
      <c r="C603" s="150"/>
      <c r="D603" s="151"/>
      <c r="E603" s="152"/>
      <c r="F603" s="151"/>
    </row>
    <row r="604" spans="1:8" s="148" customFormat="1" x14ac:dyDescent="0.25">
      <c r="B604" s="149"/>
      <c r="C604" s="150"/>
      <c r="D604" s="151"/>
      <c r="E604" s="152"/>
      <c r="F604" s="151"/>
    </row>
    <row r="605" spans="1:8" s="148" customFormat="1" x14ac:dyDescent="0.25">
      <c r="B605" s="149"/>
      <c r="C605" s="150"/>
      <c r="D605" s="151"/>
      <c r="E605" s="152"/>
      <c r="F605" s="151"/>
    </row>
    <row r="606" spans="1:8" x14ac:dyDescent="0.25">
      <c r="A606" s="153"/>
      <c r="B606" s="120"/>
      <c r="C606" s="97"/>
      <c r="D606" s="98"/>
      <c r="E606" s="154"/>
      <c r="F606" s="98"/>
      <c r="G606" s="73">
        <f>(E606+E101+E103)</f>
        <v>3300</v>
      </c>
    </row>
    <row r="607" spans="1:8" x14ac:dyDescent="0.25">
      <c r="A607" s="155"/>
      <c r="B607" s="156"/>
      <c r="C607" s="97"/>
      <c r="D607" s="98"/>
      <c r="E607" s="157"/>
      <c r="F607" s="98"/>
    </row>
    <row r="608" spans="1:8" x14ac:dyDescent="0.25">
      <c r="A608" s="155"/>
      <c r="B608" s="120"/>
      <c r="C608" s="97"/>
      <c r="D608" s="98"/>
      <c r="E608" s="154"/>
      <c r="F608" s="98"/>
    </row>
    <row r="609" spans="1:6" x14ac:dyDescent="0.25">
      <c r="A609" s="155"/>
      <c r="B609" s="120"/>
      <c r="C609" s="97"/>
      <c r="D609" s="98"/>
      <c r="E609" s="154"/>
      <c r="F609" s="98"/>
    </row>
    <row r="610" spans="1:6" x14ac:dyDescent="0.25">
      <c r="A610" s="155" t="s">
        <v>714</v>
      </c>
      <c r="B610" s="120" t="s">
        <v>715</v>
      </c>
      <c r="C610" s="97">
        <v>2</v>
      </c>
      <c r="D610" s="98">
        <v>0</v>
      </c>
      <c r="E610" s="158">
        <v>0</v>
      </c>
      <c r="F610" s="98">
        <v>22000</v>
      </c>
    </row>
    <row r="611" spans="1:6" x14ac:dyDescent="0.25">
      <c r="A611" s="11" t="s">
        <v>716</v>
      </c>
      <c r="B611" s="12" t="s">
        <v>717</v>
      </c>
      <c r="C611" s="18">
        <v>3</v>
      </c>
      <c r="D611" s="14">
        <v>39553</v>
      </c>
      <c r="E611" s="15">
        <f t="shared" ref="E611" si="22">D611+(D611*19%)</f>
        <v>47068.07</v>
      </c>
      <c r="F611" s="159">
        <v>80000</v>
      </c>
    </row>
    <row r="612" spans="1:6" x14ac:dyDescent="0.25">
      <c r="A612" s="62" t="s">
        <v>718</v>
      </c>
      <c r="B612" s="57" t="s">
        <v>388</v>
      </c>
      <c r="C612" s="58">
        <v>5</v>
      </c>
      <c r="D612" s="38">
        <v>7500</v>
      </c>
      <c r="E612" s="15">
        <v>11000</v>
      </c>
      <c r="F612" s="59">
        <v>26000</v>
      </c>
    </row>
    <row r="613" spans="1:6" x14ac:dyDescent="0.25">
      <c r="A613" s="160" t="s">
        <v>426</v>
      </c>
      <c r="B613" s="161" t="s">
        <v>428</v>
      </c>
      <c r="C613" s="162">
        <v>5</v>
      </c>
      <c r="D613" s="126">
        <v>6829</v>
      </c>
      <c r="E613" s="163">
        <f>D613+(D613*19%)</f>
        <v>8126.51</v>
      </c>
      <c r="F613" s="164">
        <v>14000</v>
      </c>
    </row>
    <row r="614" spans="1:6" ht="30" x14ac:dyDescent="0.25">
      <c r="A614" s="85" t="s">
        <v>394</v>
      </c>
      <c r="B614" s="89" t="s">
        <v>719</v>
      </c>
      <c r="C614" s="53">
        <v>3</v>
      </c>
      <c r="D614" s="61">
        <v>9853</v>
      </c>
      <c r="E614" s="15">
        <f t="shared" ref="E614:E615" si="23">D614+(D614*19%)</f>
        <v>11725.07</v>
      </c>
      <c r="F614" s="59">
        <v>22000</v>
      </c>
    </row>
    <row r="615" spans="1:6" ht="30" x14ac:dyDescent="0.25">
      <c r="A615" s="85" t="s">
        <v>394</v>
      </c>
      <c r="B615" s="89" t="s">
        <v>720</v>
      </c>
      <c r="C615" s="53">
        <v>3</v>
      </c>
      <c r="D615" s="61">
        <v>9950</v>
      </c>
      <c r="E615" s="15">
        <f t="shared" si="23"/>
        <v>11840.5</v>
      </c>
      <c r="F615" s="59">
        <v>22000</v>
      </c>
    </row>
    <row r="616" spans="1:6" x14ac:dyDescent="0.25">
      <c r="B616" s="147" t="s">
        <v>309</v>
      </c>
    </row>
    <row r="617" spans="1:6" x14ac:dyDescent="0.25">
      <c r="A617" s="51" t="s">
        <v>630</v>
      </c>
      <c r="B617" s="52" t="s">
        <v>721</v>
      </c>
      <c r="C617" s="53">
        <v>8</v>
      </c>
      <c r="D617" s="54">
        <v>5602</v>
      </c>
      <c r="E617" s="15">
        <f t="shared" ref="E617:E621" si="24">D617+(D617*19%)</f>
        <v>6666.38</v>
      </c>
      <c r="F617" s="55">
        <v>13000</v>
      </c>
    </row>
    <row r="618" spans="1:6" x14ac:dyDescent="0.25">
      <c r="A618" s="51" t="s">
        <v>630</v>
      </c>
      <c r="B618" s="52" t="s">
        <v>722</v>
      </c>
      <c r="C618" s="53">
        <v>10</v>
      </c>
      <c r="D618" s="54">
        <v>4744</v>
      </c>
      <c r="E618" s="15">
        <f t="shared" si="24"/>
        <v>5645.36</v>
      </c>
      <c r="F618" s="55">
        <v>13000</v>
      </c>
    </row>
    <row r="619" spans="1:6" x14ac:dyDescent="0.25">
      <c r="A619" s="51" t="s">
        <v>604</v>
      </c>
      <c r="B619" s="84" t="s">
        <v>60</v>
      </c>
      <c r="C619" s="53">
        <v>4</v>
      </c>
      <c r="D619" s="54">
        <v>3935</v>
      </c>
      <c r="E619" s="15">
        <f t="shared" si="24"/>
        <v>4682.6499999999996</v>
      </c>
      <c r="F619" s="55"/>
    </row>
    <row r="620" spans="1:6" x14ac:dyDescent="0.25">
      <c r="A620" s="51" t="s">
        <v>604</v>
      </c>
      <c r="B620" s="84" t="s">
        <v>723</v>
      </c>
      <c r="C620" s="53">
        <v>3</v>
      </c>
      <c r="D620" s="54">
        <v>4404</v>
      </c>
      <c r="E620" s="15">
        <f t="shared" si="24"/>
        <v>5240.76</v>
      </c>
      <c r="F620" s="55"/>
    </row>
    <row r="621" spans="1:6" x14ac:dyDescent="0.25">
      <c r="A621" s="51" t="s">
        <v>604</v>
      </c>
      <c r="B621" s="84" t="s">
        <v>414</v>
      </c>
      <c r="C621" s="53">
        <v>3</v>
      </c>
      <c r="D621" s="54">
        <v>2724</v>
      </c>
      <c r="E621" s="15">
        <f t="shared" si="24"/>
        <v>3241.56</v>
      </c>
      <c r="F621" s="5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2026-04-13T22:22:13Z</dcterms:created>
  <dcterms:modified xsi:type="dcterms:W3CDTF">2026-04-13T22:46:13Z</dcterms:modified>
</cp:coreProperties>
</file>